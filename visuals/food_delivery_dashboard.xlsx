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233c7f7af0aa2e/Documents/"/>
    </mc:Choice>
  </mc:AlternateContent>
  <xr:revisionPtr revIDLastSave="1493" documentId="8_{8B804AD3-3AF9-49CF-AE6A-DC0E896E893D}" xr6:coauthVersionLast="47" xr6:coauthVersionMax="47" xr10:uidLastSave="{1CC33BF1-3E91-4BE0-84B2-B4081962D7F1}"/>
  <bookViews>
    <workbookView xWindow="-108" yWindow="-108" windowWidth="23256" windowHeight="12456" activeTab="5" xr2:uid="{E235A0B3-DDAE-4765-8CE6-6CE776970D24}"/>
  </bookViews>
  <sheets>
    <sheet name="Overview" sheetId="1" r:id="rId1"/>
    <sheet name="Restaurant_Performance" sheetId="9" r:id="rId2"/>
    <sheet name="Discounts_Summary" sheetId="10" r:id="rId3"/>
    <sheet name="Cancellations" sheetId="5" r:id="rId4"/>
    <sheet name="Time_Trends" sheetId="6" r:id="rId5"/>
    <sheet name="Dashboard" sheetId="7" r:id="rId6"/>
    <sheet name="Insights" sheetId="11" r:id="rId7"/>
  </sheets>
  <definedNames>
    <definedName name="ExternalData_1" localSheetId="3" hidden="1">Cancellations!$A$6:$B$11</definedName>
    <definedName name="ExternalData_1" localSheetId="2" hidden="1">Discounts_Summary!$A$6:$H$8</definedName>
    <definedName name="ExternalData_1" localSheetId="1" hidden="1">Restaurant_Performance!$A$4:$K$10</definedName>
    <definedName name="ExternalData_1" localSheetId="4" hidden="1">Time_Trends!$A$6:$D$11</definedName>
    <definedName name="ExternalData_2" localSheetId="3" hidden="1">Cancellations!$D$6:$E$11</definedName>
    <definedName name="ExternalData_2" localSheetId="2" hidden="1">Discounts_Summary!$A$13:$F$30</definedName>
    <definedName name="ExternalData_2" localSheetId="4" hidden="1">Time_Trends!$F$6:$G$13</definedName>
    <definedName name="ExternalData_3" localSheetId="3" hidden="1">Cancellations!$G$6:$J$12</definedName>
    <definedName name="ExternalData_3" localSheetId="4" hidden="1">Time_Trends!$I$6:$J$24</definedName>
    <definedName name="ExternalData_4" localSheetId="4" hidden="1">Time_Trends!$C$36:$G$60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7" l="1"/>
  <c r="N4" i="7"/>
  <c r="J4" i="7"/>
  <c r="R4" i="7"/>
  <c r="B4" i="7"/>
  <c r="L10" i="10"/>
  <c r="K10" i="10"/>
  <c r="J10" i="10"/>
  <c r="L9" i="10"/>
  <c r="K9" i="10"/>
  <c r="J9" i="10"/>
  <c r="L8" i="10"/>
  <c r="K8" i="10"/>
  <c r="J8" i="10"/>
  <c r="L7" i="10"/>
  <c r="K7" i="10"/>
  <c r="J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D176F8-E5F1-44B2-BD19-EC0E447436DA}" keepAlive="1" name="Query - cancellation_rejection reasons" description="Connection to the 'cancellation_rejection reasons' query in the workbook." type="5" refreshedVersion="8" background="1" saveData="1">
    <dbPr connection="Provider=Microsoft.Mashup.OleDb.1;Data Source=$Workbook$;Location=&quot;cancellation_rejection reasons&quot;;Extended Properties=&quot;&quot;" command="SELECT * FROM [cancellation_rejection reasons]"/>
  </connection>
  <connection id="2" xr16:uid="{921DC036-016B-42DC-9A37-D065BCA62807}" keepAlive="1" name="Query - complaint_rate_percent" description="Connection to the 'complaint_rate_percent' query in the workbook." type="5" refreshedVersion="8" background="1" saveData="1">
    <dbPr connection="Provider=Microsoft.Mashup.OleDb.1;Data Source=$Workbook$;Location=complaint_rate_percent;Extended Properties=&quot;&quot;" command="SELECT * FROM [complaint_rate_percent]"/>
  </connection>
  <connection id="3" xr16:uid="{1F044E70-922F-4191-B9C4-A0BB8C1766F6}" keepAlive="1" name="Query - customer_complaint_reasons" description="Connection to the 'customer_complaint_reasons' query in the workbook." type="5" refreshedVersion="8" background="1" saveData="1">
    <dbPr connection="Provider=Microsoft.Mashup.OleDb.1;Data Source=$Workbook$;Location=customer_complaint_reasons;Extended Properties=&quot;&quot;" command="SELECT * FROM [customer_complaint_reasons]"/>
  </connection>
  <connection id="4" xr16:uid="{8A542C3C-A4F5-4450-9B63-3771AA0A3E1B}" keepAlive="1" name="Query - delivery_performance_by_distance_status" description="Connection to the 'delivery_performance_by_distance_status' query in the workbook." type="5" refreshedVersion="8" background="1" saveData="1">
    <dbPr connection="Provider=Microsoft.Mashup.OleDb.1;Data Source=$Workbook$;Location=delivery_performance_by_distance_status;Extended Properties=&quot;&quot;" command="SELECT * FROM [delivery_performance_by_distance_status]"/>
  </connection>
  <connection id="5" xr16:uid="{A97E1A9C-CCA5-41EB-81E6-B8D077BBD0B1}" keepAlive="1" name="Query - discounts_summary" description="Connection to the 'discounts_summary' query in the workbook." type="5" refreshedVersion="8" background="1" saveData="1">
    <dbPr connection="Provider=Microsoft.Mashup.OleDb.1;Data Source=$Workbook$;Location=discounts_summary;Extended Properties=&quot;&quot;" command="SELECT * FROM [discounts_summary]"/>
  </connection>
  <connection id="6" xr16:uid="{3156C003-9AAE-4B13-BEBC-4D87ED3F427A}" keepAlive="1" name="Query - monthly performance" description="Connection to the 'monthly performance' query in the workbook." type="5" refreshedVersion="8" background="1" saveData="1">
    <dbPr connection="Provider=Microsoft.Mashup.OleDb.1;Data Source=$Workbook$;Location=&quot;monthly performance&quot;;Extended Properties=&quot;&quot;" command="SELECT * FROM [monthly performance]"/>
  </connection>
  <connection id="7" xr16:uid="{594444C7-9F5C-4B7E-8C91-B04B00746E8D}" keepAlive="1" name="Query - orders_by_hour" description="Connection to the 'orders_by_hour' query in the workbook." type="5" refreshedVersion="8" background="1" saveData="1">
    <dbPr connection="Provider=Microsoft.Mashup.OleDb.1;Data Source=$Workbook$;Location=orders_by_hour;Extended Properties=&quot;&quot;" command="SELECT * FROM [orders_by_hour]"/>
  </connection>
  <connection id="8" xr16:uid="{A56E5E38-1D0C-4738-8D85-708322E2E96F}" keepAlive="1" name="Query - orders_by_month" description="Connection to the 'orders_by_month' query in the workbook." type="5" refreshedVersion="8" background="1" saveData="1">
    <dbPr connection="Provider=Microsoft.Mashup.OleDb.1;Data Source=$Workbook$;Location=orders_by_month;Extended Properties=&quot;&quot;" command="SELECT * FROM [orders_by_month]"/>
  </connection>
  <connection id="9" xr16:uid="{1760D9CA-12CA-446A-883F-48E94861CCCB}" keepAlive="1" name="Query - orders_by_week" description="Connection to the 'orders_by_week' query in the workbook." type="5" refreshedVersion="8" background="1" saveData="1">
    <dbPr connection="Provider=Microsoft.Mashup.OleDb.1;Data Source=$Workbook$;Location=orders_by_week;Extended Properties=&quot;&quot;" command="SELECT * FROM [orders_by_week]"/>
  </connection>
  <connection id="10" xr16:uid="{19E4DD48-DDA8-43CB-8B84-34F01312301C}" keepAlive="1" name="Query - overview_kpis" description="Connection to the 'overview_kpis' query in the workbook." type="5" refreshedVersion="8" background="1" saveData="1">
    <dbPr connection="Provider=Microsoft.Mashup.OleDb.1;Data Source=$Workbook$;Location=overview_kpis;Extended Properties=&quot;&quot;" command="SELECT * FROM [overview_kpis]"/>
  </connection>
  <connection id="11" xr16:uid="{315CDD5D-2DAA-484A-9105-CDACEA8AA993}" keepAlive="1" name="Query - restaurant_performance_summary" description="Connection to the 'restaurant_performance_summary' query in the workbook." type="5" refreshedVersion="8" background="1" saveData="1">
    <dbPr connection="Provider=Microsoft.Mashup.OleDb.1;Data Source=$Workbook$;Location=restaurant_performance_summary;Extended Properties=&quot;&quot;" command="SELECT * FROM [restaurant_performance_summary]"/>
  </connection>
</connections>
</file>

<file path=xl/sharedStrings.xml><?xml version="1.0" encoding="utf-8"?>
<sst xmlns="http://schemas.openxmlformats.org/spreadsheetml/2006/main" count="196" uniqueCount="110">
  <si>
    <t>Total Orders</t>
  </si>
  <si>
    <t>Unique Orders</t>
  </si>
  <si>
    <t>Total Revenue</t>
  </si>
  <si>
    <t>Average Order Value</t>
  </si>
  <si>
    <t>Average Items per Order</t>
  </si>
  <si>
    <t>Aura Pizzas</t>
  </si>
  <si>
    <t>Yes</t>
  </si>
  <si>
    <t>Swaad</t>
  </si>
  <si>
    <t>No</t>
  </si>
  <si>
    <t>Tandoori Junction</t>
  </si>
  <si>
    <t>Dilli Burger Adda</t>
  </si>
  <si>
    <t>The Chicken Junction</t>
  </si>
  <si>
    <t>Masala Junction</t>
  </si>
  <si>
    <t>Restaurant Name</t>
  </si>
  <si>
    <t>Order Count</t>
  </si>
  <si>
    <t>Rated Orders</t>
  </si>
  <si>
    <t>Average Rating</t>
  </si>
  <si>
    <t>Above Avg AOV</t>
  </si>
  <si>
    <t>Revenue Rank</t>
  </si>
  <si>
    <t>Revenue Percentage(%)</t>
  </si>
  <si>
    <t>Delivered Orders</t>
  </si>
  <si>
    <t>Delivery Rate(%)</t>
  </si>
  <si>
    <t>Promo Discount</t>
  </si>
  <si>
    <t>No Promo Discount</t>
  </si>
  <si>
    <t>0-3 km</t>
  </si>
  <si>
    <t>Delivered</t>
  </si>
  <si>
    <t>Returned</t>
  </si>
  <si>
    <t>Rejected</t>
  </si>
  <si>
    <t>Return cancelled</t>
  </si>
  <si>
    <t>Picked up</t>
  </si>
  <si>
    <t>3-5 km</t>
  </si>
  <si>
    <t>5-8 km</t>
  </si>
  <si>
    <t>8+ km</t>
  </si>
  <si>
    <t>Promo Status</t>
  </si>
  <si>
    <t>Flat Discount</t>
  </si>
  <si>
    <t>Gold Discount</t>
  </si>
  <si>
    <t>Brand Pack Discount</t>
  </si>
  <si>
    <t>Distance Range</t>
  </si>
  <si>
    <t>Order Status</t>
  </si>
  <si>
    <t>Average Kpt (minutes)</t>
  </si>
  <si>
    <t>Average Rider Wait (minutes)</t>
  </si>
  <si>
    <t>Cancelled by Customer</t>
  </si>
  <si>
    <t>Cancelled by Zomato</t>
  </si>
  <si>
    <t>Merchant device issue</t>
  </si>
  <si>
    <t>Kitchen is full</t>
  </si>
  <si>
    <t>Items out of stock</t>
  </si>
  <si>
    <t>Non-refunded complaint</t>
  </si>
  <si>
    <t>Poor taste or quality</t>
  </si>
  <si>
    <t>Poor packaging or spillage</t>
  </si>
  <si>
    <t>Wrong item(s) delivered</t>
  </si>
  <si>
    <t>Item(s) missing or not delivered</t>
  </si>
  <si>
    <t>❌ Cancellations &amp; Complaints Analysis</t>
  </si>
  <si>
    <t xml:space="preserve"> Cancellation &amp; Rejection Reasons</t>
  </si>
  <si>
    <t xml:space="preserve">        Customer Complaint Types</t>
  </si>
  <si>
    <t>Cancellation Rejection Reason</t>
  </si>
  <si>
    <t>Customer Complaint Tag</t>
  </si>
  <si>
    <t>Complaint Count</t>
  </si>
  <si>
    <t>Complaint Rate %</t>
  </si>
  <si>
    <t xml:space="preserve">    Complaint Rate by Restaurant</t>
  </si>
  <si>
    <t>Monday</t>
  </si>
  <si>
    <t>Tuesday</t>
  </si>
  <si>
    <t>Wednesday</t>
  </si>
  <si>
    <t>Thursday</t>
  </si>
  <si>
    <t>Friday</t>
  </si>
  <si>
    <t>Saturday</t>
  </si>
  <si>
    <t>Sunday</t>
  </si>
  <si>
    <t>Monthly Revenue Trend</t>
  </si>
  <si>
    <t>Orders by Day of Week</t>
  </si>
  <si>
    <t>Orders by Hour</t>
  </si>
  <si>
    <t>Monthly Restaurant Performance</t>
  </si>
  <si>
    <t>Order Month</t>
  </si>
  <si>
    <t>Day of Week</t>
  </si>
  <si>
    <t>Order Hour</t>
  </si>
  <si>
    <t>Average Delivery Distance(km)</t>
  </si>
  <si>
    <t>Helper Table</t>
  </si>
  <si>
    <t>Average KPT (mins)</t>
  </si>
  <si>
    <t>Average Rider Wait (mins)</t>
  </si>
  <si>
    <t xml:space="preserve"> Total Orders</t>
  </si>
  <si>
    <t xml:space="preserve">Overview:                                                             </t>
  </si>
  <si>
    <t>Restaurant Performance:</t>
  </si>
  <si>
    <t>• Aura Pizzas accounts for 73.87% of total revenue — the business is heavily dependent on a single restaurant partner, which is a concentration risk worth addressing through diversification.</t>
  </si>
  <si>
    <t>• Tandoori Junction has the highest AOV (₹867.96) despite low order volume (154 orders) — an underutilized premium restaurant worth promoting more.</t>
  </si>
  <si>
    <t>• Masala Junction has the best rating (4.83) but lowest revenue — a "hidden gem" that could benefit from more visibility/marketing.</t>
  </si>
  <si>
    <t>• The Chicken Junction has a 100% delivery rate — strongest operational reliability among all restaurants.</t>
  </si>
  <si>
    <t>Delivery &amp; Discounts:</t>
  </si>
  <si>
    <t>• Promo-discounted orders have a lower average item count (1.79) than non-promo orders (2.10) — promos may be attracting smaller, one-off orders rather than driving larger baskets; worth reviewing promo design.</t>
  </si>
  <si>
    <t>• AOV is similar with or without promos (₹693 vs ₹671) — discounts aren't significantly inflating spend, they're roughly neutral.</t>
  </si>
  <si>
    <t>•  Delivery time (KPT &amp; rider wait) increases only gradually with distance — operational performance holds up well even for longer-distance orders, which are also higher value.</t>
  </si>
  <si>
    <t>Cancellations &amp; Complaints:</t>
  </si>
  <si>
    <t>• Top complaint types: Non-refunded complaints (157), poor taste/quality (120), and poor packaging/spillage (104) — these three account for the bulk of customer dissatisfaction.</t>
  </si>
  <si>
    <t>• Dilli Burger Adda has the highest complaint rate (3.52%), followed by The Chicken Junction (3.13%) — worth investigating fulfillment quality at these two specifically.</t>
  </si>
  <si>
    <t>• Tandoori Junction and Masala Junction have 0% complaint rate — strong quality consistency at lower volumes.</t>
  </si>
  <si>
    <t>Time Trends:</t>
  </si>
  <si>
    <t>•  Revenue peaked in Nov-2024 then declined slightly into Jan-2025 — worth investigating what changed (seasonality, reduced marketing, restaurant availability, etc.).</t>
  </si>
  <si>
    <t>•  No orders are placed between 5 AM–10 AM — the platform currently has no breakfast segment; this is a potential growth opportunity if breakfast delivery were introduced.</t>
  </si>
  <si>
    <t>• Total Orders and Unique Orders are identical (21,321 each) —confirms clean data with no duplicate order entries.</t>
  </si>
  <si>
    <t>Recommendations:</t>
  </si>
  <si>
    <t>• Diversify restaurant partnerships to reduce dependency on Aura Pizzas.</t>
  </si>
  <si>
    <t>• Investigate quality/packaging issues at Dilli Burger Adda and The Chicken Junction to reduce complaint rates.</t>
  </si>
  <si>
    <t>• Consider redesigning promo campaigns to encourage larger basket sizes, not just order volume.</t>
  </si>
  <si>
    <t>• Explore a breakfast delivery segment (5 AM–10 AM) as a new growth channel.</t>
  </si>
  <si>
    <t>• Investigate the Nov-2024 → Jan-2025 revenue dip to identify causes and corrective action.</t>
  </si>
  <si>
    <t xml:space="preserve"> Discount Impact on Orders</t>
  </si>
  <si>
    <t xml:space="preserve"> Delivery Performance by Distance &amp; Order Status</t>
  </si>
  <si>
    <r>
      <rPr>
        <b/>
        <sz val="16"/>
        <color rgb="FF1F4E5F"/>
        <rFont val="Times New Roman"/>
        <family val="1"/>
      </rPr>
      <t>💡</t>
    </r>
    <r>
      <rPr>
        <sz val="16"/>
        <color rgb="FF1F4E5F"/>
        <rFont val="Times New Roman"/>
        <family val="1"/>
      </rPr>
      <t>Business Insights &amp; Recommendations</t>
    </r>
  </si>
  <si>
    <r>
      <rPr>
        <b/>
        <sz val="16"/>
        <color rgb="FF1F4E5F"/>
        <rFont val="Times New Roman"/>
        <family val="1"/>
      </rPr>
      <t>🍔</t>
    </r>
    <r>
      <rPr>
        <sz val="16"/>
        <color rgb="FF1F4E5F"/>
        <rFont val="Times New Roman"/>
        <family val="1"/>
      </rPr>
      <t xml:space="preserve"> Food Delivery Business Dashboard</t>
    </r>
  </si>
  <si>
    <r>
      <rPr>
        <b/>
        <sz val="16"/>
        <color rgb="FF1F4E5F"/>
        <rFont val="Times New Roman"/>
        <family val="1"/>
      </rPr>
      <t xml:space="preserve">📈 </t>
    </r>
    <r>
      <rPr>
        <sz val="16"/>
        <color rgb="FF1F4E5F"/>
        <rFont val="Times New Roman"/>
        <family val="1"/>
      </rPr>
      <t>Time-Based Trends</t>
    </r>
  </si>
  <si>
    <r>
      <rPr>
        <b/>
        <sz val="16"/>
        <color rgb="FF1F4E5F"/>
        <rFont val="Times New Roman"/>
        <family val="1"/>
      </rPr>
      <t>🚚</t>
    </r>
    <r>
      <rPr>
        <sz val="16"/>
        <color rgb="FF1F4E5F"/>
        <rFont val="Times New Roman"/>
        <family val="1"/>
      </rPr>
      <t xml:space="preserve"> Delivery &amp; Discount Analysis</t>
    </r>
  </si>
  <si>
    <r>
      <rPr>
        <b/>
        <sz val="16"/>
        <color rgb="FF1F4E5F"/>
        <rFont val="Times New Roman"/>
        <family val="1"/>
      </rPr>
      <t>🍽️</t>
    </r>
    <r>
      <rPr>
        <sz val="16"/>
        <color rgb="FF1F4E5F"/>
        <rFont val="Times New Roman"/>
        <family val="1"/>
      </rPr>
      <t xml:space="preserve"> Restaurant Performance Analysis</t>
    </r>
  </si>
  <si>
    <r>
      <rPr>
        <b/>
        <sz val="16"/>
        <color rgb="FF1F4E5F"/>
        <rFont val="Times New Roman"/>
        <family val="1"/>
      </rPr>
      <t>📊</t>
    </r>
    <r>
      <rPr>
        <sz val="16"/>
        <color rgb="FF1F4E5F"/>
        <rFont val="Times New Roman"/>
        <family val="1"/>
      </rPr>
      <t xml:space="preserve"> Business Overview - Key Performance Indicators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</si>
</sst>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28"/>
      <color theme="4" tint="-0.249977111117893"/>
      <name val="Aptos Narrow"/>
      <family val="2"/>
      <scheme val="minor"/>
    </font>
    <font>
      <sz val="12"/>
      <color theme="1"/>
      <name val="Times New Roman"/>
      <family val="1"/>
    </font>
    <font>
      <sz val="16"/>
      <color rgb="FF1F4E5F"/>
      <name val="Times New Roman"/>
      <family val="1"/>
    </font>
    <font>
      <b/>
      <sz val="16"/>
      <color rgb="FF1F4E5F"/>
      <name val="Times New Roman"/>
      <family val="1"/>
    </font>
    <font>
      <sz val="11"/>
      <color rgb="FF1F4E5F"/>
      <name val="Aptos Narrow"/>
      <family val="2"/>
      <scheme val="minor"/>
    </font>
    <font>
      <sz val="14"/>
      <color rgb="FF2E75B6"/>
      <name val="Times New Roman"/>
      <family val="1"/>
    </font>
    <font>
      <sz val="11"/>
      <color rgb="FF2E75B6"/>
      <name val="Aptos Narrow"/>
      <family val="2"/>
      <scheme val="minor"/>
    </font>
    <font>
      <b/>
      <sz val="14"/>
      <color rgb="FF2E75B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164" fontId="0" fillId="0" borderId="3" xfId="0" applyNumberFormat="1" applyBorder="1"/>
    <xf numFmtId="2" fontId="0" fillId="0" borderId="1" xfId="0" applyNumberFormat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64" formatCode="&quot;₹&quot;\ #,##0.00"/>
    </dxf>
    <dxf>
      <numFmt numFmtId="0" formatCode="General"/>
    </dxf>
    <dxf>
      <numFmt numFmtId="0" formatCode="General"/>
    </dxf>
    <dxf>
      <font>
        <b/>
      </font>
    </dxf>
    <dxf>
      <numFmt numFmtId="2" formatCode="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font>
        <b/>
      </font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font>
        <b/>
      </font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2" defaultPivotStyle="PivotStyleLight16"/>
  <colors>
    <mruColors>
      <color rgb="FF2E75B6"/>
      <color rgb="FF1F4E5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Restaurant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Restaurant_Performance!$C$4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Restaurant_Performance!$A$5:$A$10</c:f>
              <c:strCache>
                <c:ptCount val="6"/>
                <c:pt idx="0">
                  <c:v>Aura Pizzas</c:v>
                </c:pt>
                <c:pt idx="1">
                  <c:v>Swaad</c:v>
                </c:pt>
                <c:pt idx="2">
                  <c:v>Tandoori Junction</c:v>
                </c:pt>
                <c:pt idx="3">
                  <c:v>Dilli Burger Adda</c:v>
                </c:pt>
                <c:pt idx="4">
                  <c:v>The Chicken Junction</c:v>
                </c:pt>
                <c:pt idx="5">
                  <c:v>Masala Junction</c:v>
                </c:pt>
              </c:strCache>
            </c:strRef>
          </c:cat>
          <c:val>
            <c:numRef>
              <c:f>Restaurant_Performance!$C$5:$C$10</c:f>
              <c:numCache>
                <c:formatCode>"₹"\ #,##0.00</c:formatCode>
                <c:ptCount val="6"/>
                <c:pt idx="0">
                  <c:v>10751617.42</c:v>
                </c:pt>
                <c:pt idx="1">
                  <c:v>3545521.86</c:v>
                </c:pt>
                <c:pt idx="2">
                  <c:v>133665.95000000001</c:v>
                </c:pt>
                <c:pt idx="3">
                  <c:v>101709.62</c:v>
                </c:pt>
                <c:pt idx="4">
                  <c:v>12380.99</c:v>
                </c:pt>
                <c:pt idx="5">
                  <c:v>9162.2999999999993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B-44C5-B46B-23E5EDAB43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493152"/>
        <c:axId val="1181310031"/>
      </c:barChart>
      <c:catAx>
        <c:axId val="17949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10031"/>
        <c:crosses val="autoZero"/>
        <c:auto val="1"/>
        <c:lblAlgn val="ctr"/>
        <c:lblOffset val="100"/>
        <c:noMultiLvlLbl val="0"/>
      </c:catAx>
      <c:valAx>
        <c:axId val="11813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9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Delivery Time by Distance Range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Discounts_Summary!$K$6</c:f>
              <c:strCache>
                <c:ptCount val="1"/>
                <c:pt idx="0">
                  <c:v>Average KPT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Discounts_Summary!$J$7:$J$10</c:f>
              <c:strCache>
                <c:ptCount val="4"/>
                <c:pt idx="0">
                  <c:v>0-3 km</c:v>
                </c:pt>
                <c:pt idx="1">
                  <c:v>3-5 km</c:v>
                </c:pt>
                <c:pt idx="2">
                  <c:v>5-8 km</c:v>
                </c:pt>
                <c:pt idx="3">
                  <c:v>8+ km</c:v>
                </c:pt>
              </c:strCache>
            </c:strRef>
          </c:cat>
          <c:val>
            <c:numRef>
              <c:f>Discounts_Summary!$K$7:$K$10</c:f>
              <c:numCache>
                <c:formatCode>0.00</c:formatCode>
                <c:ptCount val="4"/>
                <c:pt idx="0">
                  <c:v>17.082462</c:v>
                </c:pt>
                <c:pt idx="1">
                  <c:v>17.647874999999999</c:v>
                </c:pt>
                <c:pt idx="2">
                  <c:v>17.416847000000001</c:v>
                </c:pt>
                <c:pt idx="3">
                  <c:v>17.887554000000002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42-4A73-9829-4FF58F51D31D}"/>
            </c:ext>
          </c:extLst>
        </c:ser>
        <c:ser>
          <c:idx val="1"/>
          <c:order val="1"/>
          <c:tx>
            <c:strRef>
              <c:f>Discounts_Summary!$L$6</c:f>
              <c:strCache>
                <c:ptCount val="1"/>
                <c:pt idx="0">
                  <c:v>Average Rider Wait (mins)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Discounts_Summary!$J$7:$J$10</c:f>
              <c:strCache>
                <c:ptCount val="4"/>
                <c:pt idx="0">
                  <c:v>0-3 km</c:v>
                </c:pt>
                <c:pt idx="1">
                  <c:v>3-5 km</c:v>
                </c:pt>
                <c:pt idx="2">
                  <c:v>5-8 km</c:v>
                </c:pt>
                <c:pt idx="3">
                  <c:v>8+ km</c:v>
                </c:pt>
              </c:strCache>
            </c:strRef>
          </c:cat>
          <c:val>
            <c:numRef>
              <c:f>Discounts_Summary!$L$7:$L$10</c:f>
              <c:numCache>
                <c:formatCode>0.00</c:formatCode>
                <c:ptCount val="4"/>
                <c:pt idx="0">
                  <c:v>4.6220569999999999</c:v>
                </c:pt>
                <c:pt idx="1">
                  <c:v>4.7469599999999996</c:v>
                </c:pt>
                <c:pt idx="2">
                  <c:v>5.0694660000000002</c:v>
                </c:pt>
                <c:pt idx="3">
                  <c:v>5.5526340000000003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42-4A73-9829-4FF58F51D31D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651888"/>
        <c:axId val="376119471"/>
      </c:lineChart>
      <c:catAx>
        <c:axId val="1006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19471"/>
        <c:crosses val="autoZero"/>
        <c:auto val="1"/>
        <c:lblAlgn val="ctr"/>
        <c:lblOffset val="100"/>
        <c:noMultiLvlLbl val="0"/>
      </c:catAx>
      <c:valAx>
        <c:axId val="3761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Complaint Rate by Restaurant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Cancellations!$J$6</c:f>
              <c:strCache>
                <c:ptCount val="1"/>
                <c:pt idx="0">
                  <c:v>Complaint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Cancellations!$G$7:$G$12</c:f>
              <c:strCache>
                <c:ptCount val="6"/>
                <c:pt idx="0">
                  <c:v>Dilli Burger Adda</c:v>
                </c:pt>
                <c:pt idx="1">
                  <c:v>The Chicken Junction</c:v>
                </c:pt>
                <c:pt idx="2">
                  <c:v>Aura Pizzas</c:v>
                </c:pt>
                <c:pt idx="3">
                  <c:v>Swaad</c:v>
                </c:pt>
                <c:pt idx="4">
                  <c:v>Tandoori Junction</c:v>
                </c:pt>
                <c:pt idx="5">
                  <c:v>Masala Junction</c:v>
                </c:pt>
              </c:strCache>
            </c:strRef>
          </c:cat>
          <c:val>
            <c:numRef>
              <c:f>Cancellations!$J$7:$J$12</c:f>
              <c:numCache>
                <c:formatCode>General</c:formatCode>
                <c:ptCount val="6"/>
                <c:pt idx="0">
                  <c:v>3.52</c:v>
                </c:pt>
                <c:pt idx="1">
                  <c:v>3.13</c:v>
                </c:pt>
                <c:pt idx="2">
                  <c:v>2.44</c:v>
                </c:pt>
                <c:pt idx="3">
                  <c:v>1.66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7-469F-AE94-28B5C2A390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9695952"/>
        <c:axId val="804053776"/>
      </c:barChart>
      <c:catAx>
        <c:axId val="77969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53776"/>
        <c:crosses val="autoZero"/>
        <c:auto val="1"/>
        <c:lblAlgn val="ctr"/>
        <c:lblOffset val="100"/>
        <c:noMultiLvlLbl val="0"/>
      </c:catAx>
      <c:valAx>
        <c:axId val="80405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9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Time_Trends!$C$6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Time_Trends!$A$7:$A$11</c:f>
              <c:numCache>
                <c:formatCode>m/d/yyyy</c:formatCode>
                <c:ptCount val="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</c:numCache>
            </c:numRef>
          </c:cat>
          <c:val>
            <c:numRef>
              <c:f>Time_Trends!$C$7:$C$11</c:f>
              <c:numCache>
                <c:formatCode>"₹"\ #,##0.00</c:formatCode>
                <c:ptCount val="5"/>
                <c:pt idx="0">
                  <c:v>2621548.58</c:v>
                </c:pt>
                <c:pt idx="1">
                  <c:v>3012920.23</c:v>
                </c:pt>
                <c:pt idx="2">
                  <c:v>3016541.46</c:v>
                </c:pt>
                <c:pt idx="3">
                  <c:v>3090128.91</c:v>
                </c:pt>
                <c:pt idx="4">
                  <c:v>2812918.96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9-4951-92D1-0FB3F1D07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526416"/>
        <c:axId val="804068656"/>
      </c:lineChart>
      <c:dateAx>
        <c:axId val="878526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68656"/>
        <c:crosses val="autoZero"/>
        <c:auto val="1"/>
        <c:lblOffset val="100"/>
        <c:baseTimeUnit val="months"/>
      </c:dateAx>
      <c:valAx>
        <c:axId val="8040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2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by Restaurant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Restaurant_Performance!$C$4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Restaurant_Performance!$A$5:$A$10</c:f>
              <c:strCache>
                <c:ptCount val="6"/>
                <c:pt idx="0">
                  <c:v>Aura Pizzas</c:v>
                </c:pt>
                <c:pt idx="1">
                  <c:v>Swaad</c:v>
                </c:pt>
                <c:pt idx="2">
                  <c:v>Tandoori Junction</c:v>
                </c:pt>
                <c:pt idx="3">
                  <c:v>Dilli Burger Adda</c:v>
                </c:pt>
                <c:pt idx="4">
                  <c:v>The Chicken Junction</c:v>
                </c:pt>
                <c:pt idx="5">
                  <c:v>Masala Junction</c:v>
                </c:pt>
              </c:strCache>
            </c:strRef>
          </c:cat>
          <c:val>
            <c:numRef>
              <c:f>Restaurant_Performance!$C$5:$C$10</c:f>
              <c:numCache>
                <c:formatCode>"₹"\ #,##0.00</c:formatCode>
                <c:ptCount val="6"/>
                <c:pt idx="0">
                  <c:v>10751617.42</c:v>
                </c:pt>
                <c:pt idx="1">
                  <c:v>3545521.86</c:v>
                </c:pt>
                <c:pt idx="2">
                  <c:v>133665.95000000001</c:v>
                </c:pt>
                <c:pt idx="3">
                  <c:v>101709.62</c:v>
                </c:pt>
                <c:pt idx="4">
                  <c:v>12380.99</c:v>
                </c:pt>
                <c:pt idx="5">
                  <c:v>9162.2999999999993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2-4480-A092-FE9807E59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493152"/>
        <c:axId val="1181310031"/>
      </c:barChart>
      <c:catAx>
        <c:axId val="17949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310031"/>
        <c:crosses val="autoZero"/>
        <c:auto val="1"/>
        <c:lblAlgn val="ctr"/>
        <c:lblOffset val="100"/>
        <c:noMultiLvlLbl val="0"/>
      </c:catAx>
      <c:valAx>
        <c:axId val="118131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9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Delivery Time by Distance Range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Discounts_Summary!$K$6</c:f>
              <c:strCache>
                <c:ptCount val="1"/>
                <c:pt idx="0">
                  <c:v>Average KPT (mins)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Discounts_Summary!$J$7:$J$10</c:f>
              <c:strCache>
                <c:ptCount val="4"/>
                <c:pt idx="0">
                  <c:v>0-3 km</c:v>
                </c:pt>
                <c:pt idx="1">
                  <c:v>3-5 km</c:v>
                </c:pt>
                <c:pt idx="2">
                  <c:v>5-8 km</c:v>
                </c:pt>
                <c:pt idx="3">
                  <c:v>8+ km</c:v>
                </c:pt>
              </c:strCache>
            </c:strRef>
          </c:cat>
          <c:val>
            <c:numRef>
              <c:f>Discounts_Summary!$K$7:$K$10</c:f>
              <c:numCache>
                <c:formatCode>0.00</c:formatCode>
                <c:ptCount val="4"/>
                <c:pt idx="0">
                  <c:v>17.082462</c:v>
                </c:pt>
                <c:pt idx="1">
                  <c:v>17.647874999999999</c:v>
                </c:pt>
                <c:pt idx="2">
                  <c:v>17.416847000000001</c:v>
                </c:pt>
                <c:pt idx="3">
                  <c:v>17.887554000000002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D-4CFF-91F7-27C0B52D532E}"/>
            </c:ext>
          </c:extLst>
        </c:ser>
        <c:ser>
          <c:idx val="1"/>
          <c:order val="1"/>
          <c:tx>
            <c:strRef>
              <c:f>Discounts_Summary!$L$6</c:f>
              <c:strCache>
                <c:ptCount val="1"/>
                <c:pt idx="0">
                  <c:v>Average Rider Wait (mins)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Discounts_Summary!$J$7:$J$10</c:f>
              <c:strCache>
                <c:ptCount val="4"/>
                <c:pt idx="0">
                  <c:v>0-3 km</c:v>
                </c:pt>
                <c:pt idx="1">
                  <c:v>3-5 km</c:v>
                </c:pt>
                <c:pt idx="2">
                  <c:v>5-8 km</c:v>
                </c:pt>
                <c:pt idx="3">
                  <c:v>8+ km</c:v>
                </c:pt>
              </c:strCache>
            </c:strRef>
          </c:cat>
          <c:val>
            <c:numRef>
              <c:f>Discounts_Summary!$L$7:$L$10</c:f>
              <c:numCache>
                <c:formatCode>0.00</c:formatCode>
                <c:ptCount val="4"/>
                <c:pt idx="0">
                  <c:v>4.6220569999999999</c:v>
                </c:pt>
                <c:pt idx="1">
                  <c:v>4.7469599999999996</c:v>
                </c:pt>
                <c:pt idx="2">
                  <c:v>5.0694660000000002</c:v>
                </c:pt>
                <c:pt idx="3">
                  <c:v>5.5526340000000003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D-4CFF-91F7-27C0B52D532E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651888"/>
        <c:axId val="376119471"/>
      </c:lineChart>
      <c:catAx>
        <c:axId val="1006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19471"/>
        <c:crosses val="autoZero"/>
        <c:auto val="1"/>
        <c:lblAlgn val="ctr"/>
        <c:lblOffset val="100"/>
        <c:noMultiLvlLbl val="0"/>
      </c:catAx>
      <c:valAx>
        <c:axId val="37611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5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Complaint Rate by Restaurant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Cancellations!$J$6</c:f>
              <c:strCache>
                <c:ptCount val="1"/>
                <c:pt idx="0">
                  <c:v>Complaint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Cancellations!$G$7:$G$12</c:f>
              <c:strCache>
                <c:ptCount val="6"/>
                <c:pt idx="0">
                  <c:v>Dilli Burger Adda</c:v>
                </c:pt>
                <c:pt idx="1">
                  <c:v>The Chicken Junction</c:v>
                </c:pt>
                <c:pt idx="2">
                  <c:v>Aura Pizzas</c:v>
                </c:pt>
                <c:pt idx="3">
                  <c:v>Swaad</c:v>
                </c:pt>
                <c:pt idx="4">
                  <c:v>Tandoori Junction</c:v>
                </c:pt>
                <c:pt idx="5">
                  <c:v>Masala Junction</c:v>
                </c:pt>
              </c:strCache>
            </c:strRef>
          </c:cat>
          <c:val>
            <c:numRef>
              <c:f>Cancellations!$J$7:$J$12</c:f>
              <c:numCache>
                <c:formatCode>General</c:formatCode>
                <c:ptCount val="6"/>
                <c:pt idx="0">
                  <c:v>3.52</c:v>
                </c:pt>
                <c:pt idx="1">
                  <c:v>3.13</c:v>
                </c:pt>
                <c:pt idx="2">
                  <c:v>2.44</c:v>
                </c:pt>
                <c:pt idx="3">
                  <c:v>1.66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7-4B7B-A942-0B893A3E01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79695952"/>
        <c:axId val="804053776"/>
      </c:barChart>
      <c:catAx>
        <c:axId val="77969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53776"/>
        <c:crosses val="autoZero"/>
        <c:auto val="1"/>
        <c:lblAlgn val="ctr"/>
        <c:lblOffset val="100"/>
        <c:noMultiLvlLbl val="0"/>
      </c:catAx>
      <c:valAx>
        <c:axId val="80405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9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Time_Trends!$C$6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Time_Trends!$A$7:$A$11</c:f>
              <c:numCache>
                <c:formatCode>m/d/yyyy</c:formatCode>
                <c:ptCount val="5"/>
                <c:pt idx="0">
                  <c:v>45536</c:v>
                </c:pt>
                <c:pt idx="1">
                  <c:v>45566</c:v>
                </c:pt>
                <c:pt idx="2">
                  <c:v>45597</c:v>
                </c:pt>
                <c:pt idx="3">
                  <c:v>45627</c:v>
                </c:pt>
                <c:pt idx="4">
                  <c:v>45658</c:v>
                </c:pt>
              </c:numCache>
            </c:numRef>
          </c:cat>
          <c:val>
            <c:numRef>
              <c:f>Time_Trends!$C$7:$C$11</c:f>
              <c:numCache>
                <c:formatCode>"₹"\ #,##0.00</c:formatCode>
                <c:ptCount val="5"/>
                <c:pt idx="0">
                  <c:v>2621548.58</c:v>
                </c:pt>
                <c:pt idx="1">
                  <c:v>3012920.23</c:v>
                </c:pt>
                <c:pt idx="2">
                  <c:v>3016541.46</c:v>
                </c:pt>
                <c:pt idx="3">
                  <c:v>3090128.91</c:v>
                </c:pt>
                <c:pt idx="4">
                  <c:v>2812918.96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B-442F-B586-BE0898D2B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526416"/>
        <c:axId val="804068656"/>
      </c:lineChart>
      <c:dateAx>
        <c:axId val="8785264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068656"/>
        <c:crosses val="autoZero"/>
        <c:auto val="1"/>
        <c:lblOffset val="100"/>
        <c:baseTimeUnit val="months"/>
      </c:dateAx>
      <c:valAx>
        <c:axId val="8040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52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7697</xdr:colOff>
      <xdr:row>13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F7732-87E0-4FFD-A4E0-34FD31F94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456929</xdr:colOff>
      <xdr:row>11</xdr:row>
      <xdr:rowOff>181923</xdr:rowOff>
    </xdr:from>
    <xdr:to>
      <xdr:col>12</xdr:col>
      <xdr:colOff>8710</xdr:colOff>
      <xdr:row>29</xdr:row>
      <xdr:rowOff>177159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331136-A966-BFBA-515C-B6863B644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179070</xdr:rowOff>
    </xdr:from>
    <xdr:to>
      <xdr:col>7</xdr:col>
      <xdr:colOff>22860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2B343-92EC-5112-946B-A4E976C59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15</xdr:row>
      <xdr:rowOff>7620</xdr:rowOff>
    </xdr:from>
    <xdr:to>
      <xdr:col>6</xdr:col>
      <xdr:colOff>1219200</xdr:colOff>
      <xdr:row>31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EB6DF-55B9-A12F-24E4-29335C011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10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6A7B0-3C66-454F-900E-C878B033F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416560</xdr:colOff>
      <xdr:row>13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D5259D-82E6-4B2A-85DD-3445E47F0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10</xdr:col>
      <xdr:colOff>0</xdr:colOff>
      <xdr:row>60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9974D-52F1-4AE8-9F62-73EE955ED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426720</xdr:colOff>
      <xdr:row>39</xdr:row>
      <xdr:rowOff>0</xdr:rowOff>
    </xdr:from>
    <xdr:to>
      <xdr:col>20</xdr:col>
      <xdr:colOff>0</xdr:colOff>
      <xdr:row>60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E6B7DC-CC9B-4506-BE8F-F2A4A58A8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DCEB80D-5E4F-434B-97C1-AAA1FF4F705C}" autoFormatId="16" applyNumberFormats="0" applyBorderFormats="0" applyFontFormats="0" applyPatternFormats="0" applyAlignmentFormats="0" applyWidthHeightFormats="0">
  <queryTableRefresh nextId="12">
    <queryTableFields count="11">
      <queryTableField id="1" name="Restaurant_name" tableColumnId="1"/>
      <queryTableField id="2" name="order_count" tableColumnId="2"/>
      <queryTableField id="3" name="total_revenue" tableColumnId="3"/>
      <queryTableField id="4" name="average_order_value" tableColumnId="4"/>
      <queryTableField id="5" name="rated_orders" tableColumnId="5"/>
      <queryTableField id="6" name="average_rating" tableColumnId="6"/>
      <queryTableField id="7" name="above_avg_aov" tableColumnId="7"/>
      <queryTableField id="8" name="revenue_rank" tableColumnId="8"/>
      <queryTableField id="9" name="revenue_percentage" tableColumnId="9"/>
      <queryTableField id="10" name="delivered_orders" tableColumnId="10"/>
      <queryTableField id="11" name="delivery_r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8A72EAD-7939-4DB2-8F91-A246CF45A5DB}" autoFormatId="16" applyNumberFormats="0" applyBorderFormats="0" applyFontFormats="0" applyPatternFormats="0" applyAlignmentFormats="0" applyWidthHeightFormats="0">
  <queryTableRefresh nextId="9">
    <queryTableFields count="8">
      <queryTableField id="1" name="promo_status" tableColumnId="1"/>
      <queryTableField id="2" name="order_count" tableColumnId="2"/>
      <queryTableField id="3" name="promo_discount" tableColumnId="3"/>
      <queryTableField id="4" name="flat_discount" tableColumnId="4"/>
      <queryTableField id="5" name="gold_discount" tableColumnId="5"/>
      <queryTableField id="6" name="brand_pack_discount" tableColumnId="6"/>
      <queryTableField id="7" name="average_order_value" tableColumnId="7"/>
      <queryTableField id="8" name="average_items_per_order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C256EF0-B49F-4A07-9F61-74FF9F7C61B1}" autoFormatId="16" applyNumberFormats="0" applyBorderFormats="0" applyFontFormats="0" applyPatternFormats="0" applyAlignmentFormats="0" applyWidthHeightFormats="0">
  <queryTableRefresh nextId="7">
    <queryTableFields count="6">
      <queryTableField id="1" name="distance_range" tableColumnId="1"/>
      <queryTableField id="2" name="Order_Status" tableColumnId="2"/>
      <queryTableField id="3" name="order_count" tableColumnId="3"/>
      <queryTableField id="4" name="average_order_value" tableColumnId="4"/>
      <queryTableField id="5" name="average_kpt_minutes" tableColumnId="5"/>
      <queryTableField id="6" name="average_rider_wait_minute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36F5C8-050B-4F2D-A22A-B9AE9E759155}" autoFormatId="16" applyNumberFormats="0" applyBorderFormats="0" applyFontFormats="0" applyPatternFormats="0" applyAlignmentFormats="0" applyWidthHeightFormats="0">
  <queryTableRefresh nextId="3">
    <queryTableFields count="2">
      <queryTableField id="1" name="Cancellation_Rejection_reason" tableColumnId="1"/>
      <queryTableField id="2" name="order_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81E40C1-5815-4F6E-8C8F-FAF3CF4B9029}" autoFormatId="16" applyNumberFormats="0" applyBorderFormats="0" applyFontFormats="0" applyPatternFormats="0" applyAlignmentFormats="0" applyWidthHeightFormats="0">
  <queryTableRefresh nextId="3">
    <queryTableFields count="2">
      <queryTableField id="1" name="Customer_complaint_tag" tableColumnId="1"/>
      <queryTableField id="2" name="complaint_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AD0C3C2-3606-4F36-B65A-382F67DEDA48}" autoFormatId="16" applyNumberFormats="0" applyBorderFormats="0" applyFontFormats="0" applyPatternFormats="0" applyAlignmentFormats="0" applyWidthHeightFormats="0">
  <queryTableRefresh nextId="5">
    <queryTableFields count="4">
      <queryTableField id="1" name="Restaurant_name" tableColumnId="1"/>
      <queryTableField id="2" name="total_orders" tableColumnId="2"/>
      <queryTableField id="3" name="complaint_count" tableColumnId="3"/>
      <queryTableField id="4" name="complaint_rate_perc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10F3053-D8E4-4145-B487-1E099765F16D}" autoFormatId="16" applyNumberFormats="0" applyBorderFormats="0" applyFontFormats="0" applyPatternFormats="0" applyAlignmentFormats="0" applyWidthHeightFormats="0">
  <queryTableRefresh nextId="5">
    <queryTableFields count="4">
      <queryTableField id="1" name="order_month" tableColumnId="1"/>
      <queryTableField id="2" name="order_count" tableColumnId="2"/>
      <queryTableField id="3" name="total_revenue" tableColumnId="3"/>
      <queryTableField id="4" name="average_order_value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9F94B42B-29BA-453C-9C89-0745779F1E43}" autoFormatId="16" applyNumberFormats="0" applyBorderFormats="0" applyFontFormats="0" applyPatternFormats="0" applyAlignmentFormats="0" applyWidthHeightFormats="0">
  <queryTableRefresh nextId="3">
    <queryTableFields count="2">
      <queryTableField id="1" name="day_of_week" tableColumnId="1"/>
      <queryTableField id="2" name="order_coun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9B337255-FDE7-4C39-95D6-837A637E0982}" autoFormatId="16" applyNumberFormats="0" applyBorderFormats="0" applyFontFormats="0" applyPatternFormats="0" applyAlignmentFormats="0" applyWidthHeightFormats="0">
  <queryTableRefresh nextId="3">
    <queryTableFields count="2">
      <queryTableField id="1" name="order_hour" tableColumnId="1"/>
      <queryTableField id="2" name="order_count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6EDFD69C-4A39-447D-BCC1-B2746E410C4E}" autoFormatId="16" applyNumberFormats="0" applyBorderFormats="0" applyFontFormats="0" applyPatternFormats="0" applyAlignmentFormats="0" applyWidthHeightFormats="0">
  <queryTableRefresh nextId="6">
    <queryTableFields count="5">
      <queryTableField id="1" name="order_month" tableColumnId="1"/>
      <queryTableField id="2" name="Restaurant_name" tableColumnId="2"/>
      <queryTableField id="3" name="order_count" tableColumnId="3"/>
      <queryTableField id="4" name="total_revenue" tableColumnId="4"/>
      <queryTableField id="5" name="average_order_valu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E9CCC97-BDAE-4CA3-95D0-ADBA7E06AA28}" name="Table13" displayName="Table13" ref="A4:B9" headerRowCount="0" totalsRowShown="0">
  <tableColumns count="2">
    <tableColumn id="1" xr3:uid="{A51921FD-D911-4D04-9A01-8F624D9EDCDC}" name="Column1" dataDxfId="34"/>
    <tableColumn id="2" xr3:uid="{32624610-E304-4881-9785-8B58E8E2C5D8}" name="Column2" dataDxfId="3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03340-2902-435D-B191-E8519F542C73}" name="restaurant_performance_summary" displayName="restaurant_performance_summary" ref="A4:K10" tableType="queryTable" totalsRowShown="0" headerRowDxfId="32">
  <autoFilter ref="A4:K10" xr:uid="{E4F03340-2902-435D-B191-E8519F542C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D2117A5-5F7D-4843-B5A0-EAED3138307B}" uniqueName="1" name="Restaurant Name" queryTableFieldId="1" dataDxfId="31"/>
    <tableColumn id="2" xr3:uid="{3E86706A-A9BF-4AA2-A888-9513F563BF9D}" uniqueName="2" name="Order Count" queryTableFieldId="2"/>
    <tableColumn id="3" xr3:uid="{8F3A98FB-7351-4579-9922-54D47F5E72DE}" uniqueName="3" name="Total Revenue" queryTableFieldId="3" dataDxfId="30"/>
    <tableColumn id="4" xr3:uid="{2FB26018-BCE9-4932-A10A-B2692F1407FD}" uniqueName="4" name="Average Order Value" queryTableFieldId="4" dataDxfId="29"/>
    <tableColumn id="5" xr3:uid="{529AEEE9-51A6-4323-B9DD-8D253BEB9B54}" uniqueName="5" name="Rated Orders" queryTableFieldId="5"/>
    <tableColumn id="6" xr3:uid="{175E9FFF-EF1C-447D-866B-9379C2D71A8F}" uniqueName="6" name="Average Rating" queryTableFieldId="6"/>
    <tableColumn id="7" xr3:uid="{2AF91278-38A5-4F88-BB77-C6D1696B41E0}" uniqueName="7" name="Above Avg AOV" queryTableFieldId="7" dataDxfId="28"/>
    <tableColumn id="8" xr3:uid="{A95DEACF-CDCF-40FA-BFAB-E7257CA8786E}" uniqueName="8" name="Revenue Rank" queryTableFieldId="8"/>
    <tableColumn id="9" xr3:uid="{A4A2B477-6997-45B9-B6BB-1BF9B5F1E781}" uniqueName="9" name="Revenue Percentage(%)" queryTableFieldId="9" dataDxfId="27"/>
    <tableColumn id="10" xr3:uid="{EBEC46B7-6343-4D86-BF63-F4AD21BCA152}" uniqueName="10" name="Delivered Orders" queryTableFieldId="10"/>
    <tableColumn id="11" xr3:uid="{0EC662D4-0352-40E2-BABA-79AFA56AD79F}" uniqueName="11" name="Delivery Rate(%)" queryTableField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3B90F-3C57-49E5-849F-0F3146966E74}" name="discounts_summary" displayName="discounts_summary" ref="A6:H8" tableType="queryTable" totalsRowShown="0" headerRowDxfId="26">
  <autoFilter ref="A6:H8" xr:uid="{7433B90F-3C57-49E5-849F-0F3146966E7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9B1BFF-C09D-44AD-9247-54A6103B1F8D}" uniqueName="1" name="Promo Status" queryTableFieldId="1" dataDxfId="25"/>
    <tableColumn id="2" xr3:uid="{B18DEC55-C6DB-4559-A99C-D24AFD895629}" uniqueName="2" name="Order Count" queryTableFieldId="2"/>
    <tableColumn id="3" xr3:uid="{CD1696C3-7F67-447A-9D0A-6E8F4AD2D9A9}" uniqueName="3" name="Promo Discount" queryTableFieldId="3" dataDxfId="24"/>
    <tableColumn id="4" xr3:uid="{2A573CA8-FCC6-45B4-81BF-3AE854202481}" uniqueName="4" name="Flat Discount" queryTableFieldId="4" dataDxfId="23"/>
    <tableColumn id="5" xr3:uid="{80FD4259-7013-449A-98AD-CE503B467A93}" uniqueName="5" name="Gold Discount" queryTableFieldId="5" dataDxfId="22"/>
    <tableColumn id="6" xr3:uid="{BFF99F76-B21A-487B-A2EE-B8767B9C2192}" uniqueName="6" name="Brand Pack Discount" queryTableFieldId="6" dataDxfId="21"/>
    <tableColumn id="7" xr3:uid="{3FE2C69F-A910-4F38-95DD-026F936BFBE6}" uniqueName="7" name="Average Order Value" queryTableFieldId="7" dataDxfId="20"/>
    <tableColumn id="8" xr3:uid="{7299D857-A7B3-45DB-8CCF-3C0F457C77EF}" uniqueName="8" name="Average Items per Order" queryTableFieldId="8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57A74A-358C-4DE4-8093-91D964801704}" name="delivery_performance_by_distance_status" displayName="delivery_performance_by_distance_status" ref="A13:F30" tableType="queryTable" totalsRowShown="0" headerRowDxfId="18">
  <autoFilter ref="A13:F30" xr:uid="{5B57A74A-358C-4DE4-8093-91D9648017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F028E2C-B125-41E6-87B5-CD7BE1C431BA}" uniqueName="1" name="Distance Range" queryTableFieldId="1" dataDxfId="17"/>
    <tableColumn id="2" xr3:uid="{38F470D4-900A-458D-90F7-49BAB74A6586}" uniqueName="2" name="Order Status" queryTableFieldId="2" dataDxfId="16"/>
    <tableColumn id="3" xr3:uid="{5D8B611B-F04B-4E9B-BF49-2A3B58EC8C6C}" uniqueName="3" name="Order Count" queryTableFieldId="3"/>
    <tableColumn id="4" xr3:uid="{C499CC15-8ECE-48BD-8EB7-145B30E4EC31}" uniqueName="4" name="Average Order Value" queryTableFieldId="4" dataDxfId="15"/>
    <tableColumn id="5" xr3:uid="{531ED36B-6202-44DC-8A96-C03D152879D1}" uniqueName="5" name="Average Kpt (minutes)" queryTableFieldId="5" dataDxfId="14"/>
    <tableColumn id="6" xr3:uid="{0134F761-807B-4A1E-B647-4DEB1C7CA834}" uniqueName="6" name="Average Rider Wait (minutes)" queryTableFieldId="6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33FCA-D981-428E-9419-261DF24D1ADD}" name="cancellation_rejection_reasons" displayName="cancellation_rejection_reasons" ref="A6:B11" tableType="queryTable" totalsRowShown="0">
  <autoFilter ref="A6:B11" xr:uid="{D0133FCA-D981-428E-9419-261DF24D1ADD}">
    <filterColumn colId="0" hiddenButton="1"/>
    <filterColumn colId="1" hiddenButton="1"/>
  </autoFilter>
  <tableColumns count="2">
    <tableColumn id="1" xr3:uid="{F4EB7EAE-78DC-488B-9499-B47F1EBD2EC5}" uniqueName="1" name="Cancellation Rejection Reason" queryTableFieldId="1" dataDxfId="12"/>
    <tableColumn id="2" xr3:uid="{F67CDB91-764E-4CCF-B62C-D4AD47850C6C}" uniqueName="2" name="Order Count" queryTableField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D3C0B9-0B49-4B47-9AEF-707772FEA8CF}" name="customer_complaint_reasons" displayName="customer_complaint_reasons" ref="D6:E11" tableType="queryTable" totalsRowShown="0">
  <autoFilter ref="D6:E11" xr:uid="{D6D3C0B9-0B49-4B47-9AEF-707772FEA8CF}">
    <filterColumn colId="0" hiddenButton="1"/>
    <filterColumn colId="1" hiddenButton="1"/>
  </autoFilter>
  <tableColumns count="2">
    <tableColumn id="1" xr3:uid="{1C4C313B-0F1D-4694-A865-D28535E9BE2C}" uniqueName="1" name="Customer Complaint Tag" queryTableFieldId="1" dataDxfId="11"/>
    <tableColumn id="2" xr3:uid="{17CFDCE4-A2F6-45BB-BD1D-38D69CABFCF4}" uniqueName="2" name="Complaint Count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50D459-3495-485E-A0EC-19708167BE2B}" name="complaint_rate_percent" displayName="complaint_rate_percent" ref="G6:J12" tableType="queryTable" totalsRowShown="0">
  <autoFilter ref="G6:J12" xr:uid="{A250D459-3495-485E-A0EC-19708167BE2B}">
    <filterColumn colId="0" hiddenButton="1"/>
    <filterColumn colId="1" hiddenButton="1"/>
    <filterColumn colId="2" hiddenButton="1"/>
    <filterColumn colId="3" hiddenButton="1"/>
  </autoFilter>
  <tableColumns count="4">
    <tableColumn id="1" xr3:uid="{6F5ED440-3063-4DA1-B41C-18CC71678E54}" uniqueName="1" name="Restaurant Name" queryTableFieldId="1" dataDxfId="10"/>
    <tableColumn id="2" xr3:uid="{C665747A-003C-4A07-A27D-4C16F09B524F}" uniqueName="2" name="Total Orders" queryTableFieldId="2"/>
    <tableColumn id="3" xr3:uid="{65BA3D25-93D8-487A-A020-A7F3E293C072}" uniqueName="3" name="Complaint Count" queryTableFieldId="3"/>
    <tableColumn id="4" xr3:uid="{0590C399-2B5B-4D03-9A2F-09AAB87FE4F8}" uniqueName="4" name="Complaint Rate %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C210A5-D65B-4EED-B554-AF38459647E7}" name="orders_by_month" displayName="orders_by_month" ref="A6:D11" tableType="queryTable" totalsRowShown="0">
  <autoFilter ref="A6:D11" xr:uid="{46C210A5-D65B-4EED-B554-AF38459647E7}">
    <filterColumn colId="0" hiddenButton="1"/>
    <filterColumn colId="1" hiddenButton="1"/>
    <filterColumn colId="2" hiddenButton="1"/>
    <filterColumn colId="3" hiddenButton="1"/>
  </autoFilter>
  <tableColumns count="4">
    <tableColumn id="1" xr3:uid="{53E13071-513B-42AC-B94B-C709FAA3A69C}" uniqueName="1" name="Order Month" queryTableFieldId="1" dataDxfId="9"/>
    <tableColumn id="2" xr3:uid="{F8433331-AAC6-43CC-A5CC-D4B064FD42CC}" uniqueName="2" name="Order Count" queryTableFieldId="2"/>
    <tableColumn id="3" xr3:uid="{15520632-A698-4D9F-BCD5-C3A1644F50A0}" uniqueName="3" name="Total Revenue" queryTableFieldId="3" dataDxfId="8"/>
    <tableColumn id="4" xr3:uid="{8D0CDB45-0C81-4237-A08D-D8D3A5C1ED22}" uniqueName="4" name="Average Order Value" queryTableFieldId="4" dataDxfId="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3C7E00-40F9-41DF-BA35-396546A54C92}" name="orders_by_week" displayName="orders_by_week" ref="F6:G13" tableType="queryTable" totalsRowShown="0">
  <autoFilter ref="F6:G13" xr:uid="{C53C7E00-40F9-41DF-BA35-396546A54C92}">
    <filterColumn colId="0" hiddenButton="1"/>
    <filterColumn colId="1" hiddenButton="1"/>
  </autoFilter>
  <tableColumns count="2">
    <tableColumn id="1" xr3:uid="{692A66A6-7FFA-4FFB-9046-DEA449438790}" uniqueName="1" name="Day of Week" queryTableFieldId="1" dataDxfId="6"/>
    <tableColumn id="2" xr3:uid="{E08029EB-2848-4A1B-9F3E-D10F9875DF71}" uniqueName="2" name="Order Count" queryTableField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3E155C8-27D7-4DE0-928D-FB14F857E1F9}" name="orders_by_hour" displayName="orders_by_hour" ref="I6:J24" tableType="queryTable" totalsRowShown="0">
  <autoFilter ref="I6:J24" xr:uid="{73E155C8-27D7-4DE0-928D-FB14F857E1F9}">
    <filterColumn colId="0" hiddenButton="1"/>
    <filterColumn colId="1" hiddenButton="1"/>
  </autoFilter>
  <tableColumns count="2">
    <tableColumn id="1" xr3:uid="{4BE19F83-6045-4596-B46E-6DA3193F0657}" uniqueName="1" name="Order Hour" queryTableFieldId="1"/>
    <tableColumn id="2" xr3:uid="{ACFE3B5B-A643-4766-A14F-939BCEE74AEC}" uniqueName="2" name="Order Count" queryTableField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83F534-2797-4A2E-957E-9BF089D16C29}" name="monthly_performance" displayName="monthly_performance" ref="C36:G60" tableType="queryTable" totalsRowShown="0">
  <autoFilter ref="C36:G60" xr:uid="{5783F534-2797-4A2E-957E-9BF089D16C2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28B86F1-3BA7-4356-B1EE-4567ACBB4564}" uniqueName="1" name="Order Month" queryTableFieldId="1" dataDxfId="5"/>
    <tableColumn id="2" xr3:uid="{134D064D-445B-404C-91AB-2E18EA91C9C6}" uniqueName="2" name="Restaurant Name" queryTableFieldId="2" dataDxfId="4"/>
    <tableColumn id="3" xr3:uid="{AA8EA05C-8310-48F5-94B6-B5548AD9C817}" uniqueName="3" name="Order Count" queryTableFieldId="3"/>
    <tableColumn id="4" xr3:uid="{A61B8DA4-0EF6-40BA-BE78-5478A16928F9}" uniqueName="4" name="Total Revenue" queryTableFieldId="4" dataDxfId="3"/>
    <tableColumn id="5" xr3:uid="{26684476-1F20-4C85-A896-6E5AEE6D1D87}" uniqueName="5" name="Average Order Value" queryTableFieldId="5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7C83C-A558-4D66-8A8E-1A840DEFC702}">
  <sheetPr>
    <tabColor theme="5" tint="-0.249977111117893"/>
  </sheetPr>
  <dimension ref="A1:I9"/>
  <sheetViews>
    <sheetView zoomScale="98" zoomScaleNormal="40" workbookViewId="0">
      <selection activeCell="B6" sqref="B6"/>
    </sheetView>
  </sheetViews>
  <sheetFormatPr defaultRowHeight="14.4" x14ac:dyDescent="0.3"/>
  <cols>
    <col min="1" max="1" width="26" customWidth="1"/>
    <col min="2" max="2" width="23.77734375" customWidth="1"/>
    <col min="3" max="4" width="9.88671875" customWidth="1"/>
    <col min="9" max="10" width="8.88671875" customWidth="1"/>
    <col min="11" max="11" width="15.33203125" customWidth="1"/>
    <col min="12" max="12" width="14.6640625" bestFit="1" customWidth="1"/>
  </cols>
  <sheetData>
    <row r="1" spans="1:9" x14ac:dyDescent="0.3">
      <c r="A1" s="23" t="s">
        <v>109</v>
      </c>
      <c r="B1" s="23"/>
      <c r="C1" s="2"/>
      <c r="D1" s="2"/>
    </row>
    <row r="2" spans="1:9" ht="34.200000000000003" customHeight="1" x14ac:dyDescent="0.3">
      <c r="A2" s="23"/>
      <c r="B2" s="23"/>
    </row>
    <row r="4" spans="1:9" x14ac:dyDescent="0.3">
      <c r="A4" s="11" t="s">
        <v>0</v>
      </c>
      <c r="B4" s="13">
        <v>21321</v>
      </c>
    </row>
    <row r="5" spans="1:9" x14ac:dyDescent="0.3">
      <c r="A5" s="11" t="s">
        <v>1</v>
      </c>
      <c r="B5" s="13">
        <v>21321</v>
      </c>
    </row>
    <row r="6" spans="1:9" x14ac:dyDescent="0.3">
      <c r="A6" s="11" t="s">
        <v>2</v>
      </c>
      <c r="B6" s="14">
        <v>14554058.140000001</v>
      </c>
    </row>
    <row r="7" spans="1:9" x14ac:dyDescent="0.3">
      <c r="A7" s="11" t="s">
        <v>3</v>
      </c>
      <c r="B7" s="14">
        <v>682.61611300000004</v>
      </c>
    </row>
    <row r="8" spans="1:9" x14ac:dyDescent="0.3">
      <c r="A8" s="11" t="s">
        <v>4</v>
      </c>
      <c r="B8" s="13">
        <v>1.94</v>
      </c>
    </row>
    <row r="9" spans="1:9" x14ac:dyDescent="0.3">
      <c r="A9" s="11" t="s">
        <v>73</v>
      </c>
      <c r="B9" s="13">
        <v>4.17</v>
      </c>
      <c r="F9" s="1"/>
      <c r="G9" s="1"/>
      <c r="H9" s="1"/>
      <c r="I9" s="1"/>
    </row>
  </sheetData>
  <mergeCells count="1">
    <mergeCell ref="A1:B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5E9F-13B9-4F9F-A1CE-7305AA25DD24}">
  <sheetPr>
    <tabColor rgb="FF0070C0"/>
  </sheetPr>
  <dimension ref="A1:L10"/>
  <sheetViews>
    <sheetView zoomScale="99" zoomScaleNormal="55" workbookViewId="0">
      <selection activeCell="J17" sqref="J17"/>
    </sheetView>
  </sheetViews>
  <sheetFormatPr defaultRowHeight="14.4" x14ac:dyDescent="0.3"/>
  <cols>
    <col min="1" max="1" width="18" bestFit="1" customWidth="1"/>
    <col min="2" max="2" width="13.109375" bestFit="1" customWidth="1"/>
    <col min="3" max="3" width="14.6640625" bestFit="1" customWidth="1"/>
    <col min="4" max="4" width="20.33203125" bestFit="1" customWidth="1"/>
    <col min="5" max="5" width="13.77734375" bestFit="1" customWidth="1"/>
    <col min="6" max="6" width="15.33203125" bestFit="1" customWidth="1"/>
    <col min="7" max="7" width="15.5546875" bestFit="1" customWidth="1"/>
    <col min="8" max="8" width="14.21875" bestFit="1" customWidth="1"/>
    <col min="9" max="9" width="22.5546875" customWidth="1"/>
    <col min="10" max="10" width="17.33203125" bestFit="1" customWidth="1"/>
    <col min="11" max="11" width="16.88671875" customWidth="1"/>
  </cols>
  <sheetData>
    <row r="1" spans="1:12" ht="14.4" customHeight="1" x14ac:dyDescent="0.3">
      <c r="A1" s="19" t="s">
        <v>108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.4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x14ac:dyDescent="0.3">
      <c r="A4" s="10" t="s">
        <v>13</v>
      </c>
      <c r="B4" s="10" t="s">
        <v>14</v>
      </c>
      <c r="C4" s="10" t="s">
        <v>2</v>
      </c>
      <c r="D4" s="10" t="s">
        <v>3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2" x14ac:dyDescent="0.3">
      <c r="A5" t="s">
        <v>5</v>
      </c>
      <c r="B5">
        <v>14548</v>
      </c>
      <c r="C5" s="3">
        <v>10751617.42</v>
      </c>
      <c r="D5" s="3">
        <v>739.04</v>
      </c>
      <c r="E5">
        <v>1697</v>
      </c>
      <c r="F5">
        <v>4.32</v>
      </c>
      <c r="G5" t="s">
        <v>6</v>
      </c>
      <c r="H5">
        <v>1</v>
      </c>
      <c r="I5">
        <v>73.87</v>
      </c>
      <c r="J5">
        <v>14417</v>
      </c>
      <c r="K5">
        <v>99.1</v>
      </c>
    </row>
    <row r="6" spans="1:12" x14ac:dyDescent="0.3">
      <c r="A6" t="s">
        <v>7</v>
      </c>
      <c r="B6">
        <v>6332</v>
      </c>
      <c r="C6" s="3">
        <v>3545521.86</v>
      </c>
      <c r="D6" s="3">
        <v>559.94000000000005</v>
      </c>
      <c r="E6">
        <v>682</v>
      </c>
      <c r="F6">
        <v>4.43</v>
      </c>
      <c r="G6" t="s">
        <v>8</v>
      </c>
      <c r="H6">
        <v>2</v>
      </c>
      <c r="I6">
        <v>24.36</v>
      </c>
      <c r="J6">
        <v>6282</v>
      </c>
      <c r="K6">
        <v>99.21</v>
      </c>
    </row>
    <row r="7" spans="1:12" x14ac:dyDescent="0.3">
      <c r="A7" t="s">
        <v>9</v>
      </c>
      <c r="B7">
        <v>154</v>
      </c>
      <c r="C7" s="3">
        <v>133665.95000000001</v>
      </c>
      <c r="D7" s="3">
        <v>867.96</v>
      </c>
      <c r="E7">
        <v>23</v>
      </c>
      <c r="F7">
        <v>4.6500000000000004</v>
      </c>
      <c r="G7" t="s">
        <v>6</v>
      </c>
      <c r="H7">
        <v>3</v>
      </c>
      <c r="I7">
        <v>0.92</v>
      </c>
      <c r="J7">
        <v>151</v>
      </c>
      <c r="K7">
        <v>98.05</v>
      </c>
    </row>
    <row r="8" spans="1:12" x14ac:dyDescent="0.3">
      <c r="A8" t="s">
        <v>10</v>
      </c>
      <c r="B8">
        <v>227</v>
      </c>
      <c r="C8" s="3">
        <v>101709.62</v>
      </c>
      <c r="D8" s="3">
        <v>448.06</v>
      </c>
      <c r="E8">
        <v>40</v>
      </c>
      <c r="F8">
        <v>4.18</v>
      </c>
      <c r="G8" t="s">
        <v>8</v>
      </c>
      <c r="H8">
        <v>4</v>
      </c>
      <c r="I8">
        <v>0.7</v>
      </c>
      <c r="J8">
        <v>223</v>
      </c>
      <c r="K8">
        <v>98.24</v>
      </c>
    </row>
    <row r="9" spans="1:12" x14ac:dyDescent="0.3">
      <c r="A9" t="s">
        <v>11</v>
      </c>
      <c r="B9">
        <v>32</v>
      </c>
      <c r="C9" s="3">
        <v>12380.99</v>
      </c>
      <c r="D9" s="3">
        <v>386.91</v>
      </c>
      <c r="E9">
        <v>26</v>
      </c>
      <c r="F9">
        <v>4.6900000000000004</v>
      </c>
      <c r="G9" t="s">
        <v>8</v>
      </c>
      <c r="H9">
        <v>5</v>
      </c>
      <c r="I9">
        <v>0.09</v>
      </c>
      <c r="J9">
        <v>32</v>
      </c>
      <c r="K9">
        <v>100</v>
      </c>
    </row>
    <row r="10" spans="1:12" x14ac:dyDescent="0.3">
      <c r="A10" t="s">
        <v>12</v>
      </c>
      <c r="B10">
        <v>28</v>
      </c>
      <c r="C10" s="3">
        <v>9162.2999999999993</v>
      </c>
      <c r="D10" s="3">
        <v>327.23</v>
      </c>
      <c r="E10">
        <v>23</v>
      </c>
      <c r="F10">
        <v>4.83</v>
      </c>
      <c r="G10" t="s">
        <v>8</v>
      </c>
      <c r="H10">
        <v>6</v>
      </c>
      <c r="I10">
        <v>0.06</v>
      </c>
      <c r="J10">
        <v>26</v>
      </c>
      <c r="K10">
        <v>92.86</v>
      </c>
    </row>
  </sheetData>
  <mergeCells count="1">
    <mergeCell ref="A1:L2"/>
  </mergeCells>
  <conditionalFormatting sqref="G5:G10">
    <cfRule type="cellIs" dxfId="1" priority="2" operator="equal">
      <formula>"Yes"</formula>
    </cfRule>
  </conditionalFormatting>
  <conditionalFormatting sqref="K5:K10">
    <cfRule type="cellIs" dxfId="0" priority="1" operator="lessThan">
      <formula>99</formula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5A66-599A-436F-84D1-D836AE4C2A4B}">
  <sheetPr>
    <tabColor rgb="FF0070C0"/>
  </sheetPr>
  <dimension ref="A1:L30"/>
  <sheetViews>
    <sheetView zoomScaleNormal="70" workbookViewId="0">
      <selection activeCell="A11" sqref="A11:D11"/>
    </sheetView>
  </sheetViews>
  <sheetFormatPr defaultRowHeight="14.4" x14ac:dyDescent="0.3"/>
  <cols>
    <col min="1" max="1" width="16.5546875" bestFit="1" customWidth="1"/>
    <col min="2" max="2" width="16" customWidth="1"/>
    <col min="3" max="3" width="16.77734375" customWidth="1"/>
    <col min="4" max="4" width="17.88671875" bestFit="1" customWidth="1"/>
    <col min="5" max="5" width="19.44140625" bestFit="1" customWidth="1"/>
    <col min="6" max="6" width="25.44140625" bestFit="1" customWidth="1"/>
    <col min="7" max="7" width="17.88671875" bestFit="1" customWidth="1"/>
    <col min="8" max="8" width="21.109375" bestFit="1" customWidth="1"/>
    <col min="9" max="9" width="8.88671875" customWidth="1"/>
    <col min="10" max="10" width="18.77734375" customWidth="1"/>
    <col min="11" max="11" width="16.6640625" customWidth="1"/>
    <col min="12" max="12" width="22.109375" customWidth="1"/>
  </cols>
  <sheetData>
    <row r="1" spans="1:12" ht="14.4" customHeight="1" x14ac:dyDescent="0.3">
      <c r="A1" s="19" t="s">
        <v>107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 ht="18" x14ac:dyDescent="0.3">
      <c r="C3" s="5"/>
    </row>
    <row r="4" spans="1:12" ht="18" x14ac:dyDescent="0.3">
      <c r="A4" s="24" t="s">
        <v>102</v>
      </c>
      <c r="B4" s="24"/>
      <c r="C4" s="5"/>
      <c r="K4" s="6" t="s">
        <v>74</v>
      </c>
    </row>
    <row r="5" spans="1:12" ht="14.4" customHeight="1" x14ac:dyDescent="0.3">
      <c r="A5" s="5"/>
      <c r="B5" s="5"/>
      <c r="C5" s="5"/>
    </row>
    <row r="6" spans="1:12" x14ac:dyDescent="0.3">
      <c r="A6" s="10" t="s">
        <v>33</v>
      </c>
      <c r="B6" s="10" t="s">
        <v>14</v>
      </c>
      <c r="C6" s="10" t="s">
        <v>22</v>
      </c>
      <c r="D6" s="10" t="s">
        <v>34</v>
      </c>
      <c r="E6" s="10" t="s">
        <v>35</v>
      </c>
      <c r="F6" s="10" t="s">
        <v>36</v>
      </c>
      <c r="G6" s="10" t="s">
        <v>3</v>
      </c>
      <c r="H6" s="10" t="s">
        <v>4</v>
      </c>
      <c r="J6" s="12" t="s">
        <v>37</v>
      </c>
      <c r="K6" s="12" t="s">
        <v>75</v>
      </c>
      <c r="L6" s="12" t="s">
        <v>76</v>
      </c>
    </row>
    <row r="7" spans="1:12" x14ac:dyDescent="0.3">
      <c r="A7" t="s">
        <v>22</v>
      </c>
      <c r="B7">
        <v>11059</v>
      </c>
      <c r="C7" s="3">
        <v>1387822.61</v>
      </c>
      <c r="D7" s="3">
        <v>31597.3</v>
      </c>
      <c r="E7" s="3">
        <v>1962.2</v>
      </c>
      <c r="F7" s="3">
        <v>40679.160000000003</v>
      </c>
      <c r="G7" s="3">
        <v>693.49</v>
      </c>
      <c r="H7" s="4">
        <v>1.79</v>
      </c>
      <c r="J7" s="12" t="str">
        <f>A14</f>
        <v>0-3 km</v>
      </c>
      <c r="K7" s="15">
        <f>E14</f>
        <v>17.082462</v>
      </c>
      <c r="L7" s="15">
        <f>F14</f>
        <v>4.6220569999999999</v>
      </c>
    </row>
    <row r="8" spans="1:12" x14ac:dyDescent="0.3">
      <c r="A8" t="s">
        <v>23</v>
      </c>
      <c r="B8">
        <v>10262</v>
      </c>
      <c r="C8" s="3">
        <v>0</v>
      </c>
      <c r="D8" s="3">
        <v>646305.14</v>
      </c>
      <c r="E8" s="3">
        <v>151.30000000000001</v>
      </c>
      <c r="F8" s="3">
        <v>24122.26</v>
      </c>
      <c r="G8" s="3">
        <v>670.9</v>
      </c>
      <c r="H8" s="4">
        <v>2.1</v>
      </c>
      <c r="J8" s="15" t="str">
        <f>A19</f>
        <v>3-5 km</v>
      </c>
      <c r="K8" s="15">
        <f>E19</f>
        <v>17.647874999999999</v>
      </c>
      <c r="L8" s="15">
        <f>F19</f>
        <v>4.7469599999999996</v>
      </c>
    </row>
    <row r="9" spans="1:12" x14ac:dyDescent="0.3">
      <c r="J9" s="12" t="str">
        <f>A22</f>
        <v>5-8 km</v>
      </c>
      <c r="K9" s="15">
        <f>E22</f>
        <v>17.416847000000001</v>
      </c>
      <c r="L9" s="15">
        <f>F22</f>
        <v>5.0694660000000002</v>
      </c>
    </row>
    <row r="10" spans="1:12" x14ac:dyDescent="0.3">
      <c r="J10" s="12" t="str">
        <f>A26</f>
        <v>8+ km</v>
      </c>
      <c r="K10" s="15">
        <f>E26</f>
        <v>17.887554000000002</v>
      </c>
      <c r="L10" s="15">
        <f>F26</f>
        <v>5.5526340000000003</v>
      </c>
    </row>
    <row r="11" spans="1:12" ht="18" x14ac:dyDescent="0.3">
      <c r="A11" s="24" t="s">
        <v>103</v>
      </c>
      <c r="B11" s="24"/>
      <c r="C11" s="24"/>
      <c r="D11" s="24"/>
    </row>
    <row r="13" spans="1:12" ht="14.4" customHeight="1" x14ac:dyDescent="0.3">
      <c r="A13" s="10" t="s">
        <v>37</v>
      </c>
      <c r="B13" s="10" t="s">
        <v>38</v>
      </c>
      <c r="C13" s="10" t="s">
        <v>14</v>
      </c>
      <c r="D13" s="10" t="s">
        <v>3</v>
      </c>
      <c r="E13" s="10" t="s">
        <v>39</v>
      </c>
      <c r="F13" s="10" t="s">
        <v>40</v>
      </c>
    </row>
    <row r="14" spans="1:12" x14ac:dyDescent="0.3">
      <c r="A14" t="s">
        <v>24</v>
      </c>
      <c r="B14" t="s">
        <v>25</v>
      </c>
      <c r="C14">
        <v>10550</v>
      </c>
      <c r="D14" s="3">
        <v>650.48087899999996</v>
      </c>
      <c r="E14" s="4">
        <v>17.082462</v>
      </c>
      <c r="F14" s="4">
        <v>4.6220569999999999</v>
      </c>
    </row>
    <row r="15" spans="1:12" x14ac:dyDescent="0.3">
      <c r="A15" t="s">
        <v>24</v>
      </c>
      <c r="B15" t="s">
        <v>26</v>
      </c>
      <c r="C15">
        <v>8</v>
      </c>
      <c r="D15" s="3">
        <v>454.05500000000001</v>
      </c>
      <c r="E15" s="4">
        <v>16.748750000000001</v>
      </c>
      <c r="F15" s="4">
        <v>8.4</v>
      </c>
    </row>
    <row r="16" spans="1:12" x14ac:dyDescent="0.3">
      <c r="A16" t="s">
        <v>24</v>
      </c>
      <c r="B16" t="s">
        <v>27</v>
      </c>
      <c r="C16">
        <v>16</v>
      </c>
      <c r="D16" s="3">
        <v>545.05875000000003</v>
      </c>
      <c r="E16" s="4">
        <v>13.8825</v>
      </c>
      <c r="F16" s="4">
        <v>4.45</v>
      </c>
    </row>
    <row r="17" spans="1:6" x14ac:dyDescent="0.3">
      <c r="A17" t="s">
        <v>24</v>
      </c>
      <c r="B17" t="s">
        <v>28</v>
      </c>
      <c r="C17">
        <v>2</v>
      </c>
      <c r="D17" s="3">
        <v>413.17500000000001</v>
      </c>
      <c r="E17" s="4">
        <v>11.315</v>
      </c>
      <c r="F17" s="4">
        <v>2.5499999999999998</v>
      </c>
    </row>
    <row r="18" spans="1:6" x14ac:dyDescent="0.3">
      <c r="A18" t="s">
        <v>24</v>
      </c>
      <c r="B18" t="s">
        <v>29</v>
      </c>
      <c r="C18">
        <v>1</v>
      </c>
      <c r="D18" s="3">
        <v>1662.15</v>
      </c>
      <c r="E18" s="4">
        <v>21.97</v>
      </c>
      <c r="F18" s="4">
        <v>7.9</v>
      </c>
    </row>
    <row r="19" spans="1:6" x14ac:dyDescent="0.3">
      <c r="A19" t="s">
        <v>30</v>
      </c>
      <c r="B19" t="s">
        <v>25</v>
      </c>
      <c r="C19">
        <v>4457</v>
      </c>
      <c r="D19" s="3">
        <v>667.80364599999996</v>
      </c>
      <c r="E19" s="4">
        <v>17.647874999999999</v>
      </c>
      <c r="F19" s="4">
        <v>4.7469599999999996</v>
      </c>
    </row>
    <row r="20" spans="1:6" x14ac:dyDescent="0.3">
      <c r="A20" t="s">
        <v>30</v>
      </c>
      <c r="B20" t="s">
        <v>27</v>
      </c>
      <c r="C20">
        <v>7</v>
      </c>
      <c r="D20" s="3">
        <v>495.39142900000002</v>
      </c>
      <c r="E20" s="4">
        <v>14.998571</v>
      </c>
      <c r="F20" s="4">
        <v>3.3571430000000002</v>
      </c>
    </row>
    <row r="21" spans="1:6" x14ac:dyDescent="0.3">
      <c r="A21" t="s">
        <v>30</v>
      </c>
      <c r="B21" t="s">
        <v>26</v>
      </c>
      <c r="C21">
        <v>7</v>
      </c>
      <c r="D21" s="3">
        <v>498.67571400000003</v>
      </c>
      <c r="E21" s="4">
        <v>21.995714</v>
      </c>
      <c r="F21" s="4">
        <v>6.1142859999999999</v>
      </c>
    </row>
    <row r="22" spans="1:6" x14ac:dyDescent="0.3">
      <c r="A22" t="s">
        <v>31</v>
      </c>
      <c r="B22" t="s">
        <v>25</v>
      </c>
      <c r="C22">
        <v>4025</v>
      </c>
      <c r="D22" s="3">
        <v>705.95726999999999</v>
      </c>
      <c r="E22" s="4">
        <v>17.416847000000001</v>
      </c>
      <c r="F22" s="4">
        <v>5.0694660000000002</v>
      </c>
    </row>
    <row r="23" spans="1:6" x14ac:dyDescent="0.3">
      <c r="A23" t="s">
        <v>31</v>
      </c>
      <c r="B23" t="s">
        <v>26</v>
      </c>
      <c r="C23">
        <v>7</v>
      </c>
      <c r="D23" s="3">
        <v>376.8</v>
      </c>
      <c r="E23" s="4">
        <v>11.107143000000001</v>
      </c>
      <c r="F23" s="4">
        <v>2.628571</v>
      </c>
    </row>
    <row r="24" spans="1:6" x14ac:dyDescent="0.3">
      <c r="A24" t="s">
        <v>31</v>
      </c>
      <c r="B24" t="s">
        <v>29</v>
      </c>
      <c r="C24">
        <v>1</v>
      </c>
      <c r="D24" s="3">
        <v>367.5</v>
      </c>
      <c r="E24" s="4">
        <v>12.48</v>
      </c>
      <c r="F24" s="4">
        <v>1.5</v>
      </c>
    </row>
    <row r="25" spans="1:6" x14ac:dyDescent="0.3">
      <c r="A25" t="s">
        <v>31</v>
      </c>
      <c r="B25" t="s">
        <v>27</v>
      </c>
      <c r="C25">
        <v>6</v>
      </c>
      <c r="D25" s="3">
        <v>723.97500000000002</v>
      </c>
      <c r="E25" s="4">
        <v>14.773332999999999</v>
      </c>
      <c r="F25" s="4">
        <v>2.6166670000000001</v>
      </c>
    </row>
    <row r="26" spans="1:6" x14ac:dyDescent="0.3">
      <c r="A26" t="s">
        <v>32</v>
      </c>
      <c r="B26" t="s">
        <v>25</v>
      </c>
      <c r="C26">
        <v>1860</v>
      </c>
      <c r="D26" s="3">
        <v>848.81284900000003</v>
      </c>
      <c r="E26" s="4">
        <v>17.887554000000002</v>
      </c>
      <c r="F26" s="4">
        <v>5.5526340000000003</v>
      </c>
    </row>
    <row r="27" spans="1:6" x14ac:dyDescent="0.3">
      <c r="A27" t="s">
        <v>32</v>
      </c>
      <c r="B27" t="s">
        <v>26</v>
      </c>
      <c r="C27">
        <v>3</v>
      </c>
      <c r="D27" s="3">
        <v>600.88</v>
      </c>
      <c r="E27" s="4">
        <v>17.043333000000001</v>
      </c>
      <c r="F27" s="4">
        <v>6.233333</v>
      </c>
    </row>
    <row r="28" spans="1:6" x14ac:dyDescent="0.3">
      <c r="A28" t="s">
        <v>32</v>
      </c>
      <c r="B28" t="s">
        <v>27</v>
      </c>
      <c r="C28">
        <v>11</v>
      </c>
      <c r="D28" s="3">
        <v>567.78454499999998</v>
      </c>
      <c r="E28" s="4">
        <v>13.814545000000001</v>
      </c>
      <c r="F28" s="4">
        <v>2.6090909999999998</v>
      </c>
    </row>
    <row r="29" spans="1:6" x14ac:dyDescent="0.3">
      <c r="A29" t="s">
        <v>32</v>
      </c>
      <c r="B29" t="s">
        <v>29</v>
      </c>
      <c r="C29">
        <v>1</v>
      </c>
      <c r="D29" s="3">
        <v>1257.9000000000001</v>
      </c>
      <c r="E29" s="4">
        <v>24.32</v>
      </c>
      <c r="F29" s="4">
        <v>16.7</v>
      </c>
    </row>
    <row r="30" spans="1:6" x14ac:dyDescent="0.3">
      <c r="A30" t="s">
        <v>32</v>
      </c>
      <c r="B30" t="s">
        <v>28</v>
      </c>
      <c r="C30">
        <v>1</v>
      </c>
      <c r="D30" s="3">
        <v>785.4</v>
      </c>
      <c r="E30" s="4">
        <v>14.47</v>
      </c>
      <c r="F30" s="4">
        <v>1.9</v>
      </c>
    </row>
  </sheetData>
  <mergeCells count="3">
    <mergeCell ref="A4:B4"/>
    <mergeCell ref="A11:D11"/>
    <mergeCell ref="A1:K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8CE9-5EF8-4048-8846-601DF93FEA5D}">
  <sheetPr>
    <tabColor rgb="FF0070C0"/>
  </sheetPr>
  <dimension ref="A1:J28"/>
  <sheetViews>
    <sheetView zoomScale="80" workbookViewId="0">
      <selection activeCell="G4" sqref="G4:J4"/>
    </sheetView>
  </sheetViews>
  <sheetFormatPr defaultRowHeight="14.4" x14ac:dyDescent="0.3"/>
  <cols>
    <col min="1" max="1" width="28.44140625" bestFit="1" customWidth="1"/>
    <col min="2" max="2" width="11.77734375" bestFit="1" customWidth="1"/>
    <col min="3" max="3" width="17.44140625" customWidth="1"/>
    <col min="4" max="4" width="26" bestFit="1" customWidth="1"/>
    <col min="5" max="5" width="16.109375" bestFit="1" customWidth="1"/>
    <col min="6" max="6" width="17.44140625" customWidth="1"/>
    <col min="7" max="7" width="19.109375" bestFit="1" customWidth="1"/>
    <col min="8" max="8" width="11.109375" bestFit="1" customWidth="1"/>
    <col min="9" max="9" width="16.109375" bestFit="1" customWidth="1"/>
    <col min="10" max="10" width="16.77734375" bestFit="1" customWidth="1"/>
  </cols>
  <sheetData>
    <row r="1" spans="1:10" ht="14.4" customHeight="1" x14ac:dyDescent="0.3">
      <c r="A1" s="19" t="s">
        <v>51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19"/>
      <c r="B2" s="19"/>
      <c r="C2" s="19"/>
      <c r="D2" s="19"/>
      <c r="E2" s="19"/>
      <c r="F2" s="19"/>
      <c r="G2" s="19"/>
      <c r="H2" s="19"/>
      <c r="I2" s="19"/>
      <c r="J2" s="19"/>
    </row>
    <row r="4" spans="1:10" ht="14.4" customHeight="1" x14ac:dyDescent="0.3">
      <c r="A4" s="25" t="s">
        <v>52</v>
      </c>
      <c r="B4" s="25"/>
      <c r="C4" s="2"/>
      <c r="D4" s="25" t="s">
        <v>53</v>
      </c>
      <c r="E4" s="25"/>
      <c r="G4" s="26" t="s">
        <v>58</v>
      </c>
      <c r="H4" s="26"/>
      <c r="I4" s="26"/>
      <c r="J4" s="26"/>
    </row>
    <row r="5" spans="1:10" ht="14.4" customHeight="1" x14ac:dyDescent="0.3">
      <c r="A5" s="7"/>
      <c r="B5" s="7"/>
      <c r="C5" s="2"/>
      <c r="D5" s="7"/>
      <c r="E5" s="7"/>
    </row>
    <row r="6" spans="1:10" x14ac:dyDescent="0.3">
      <c r="A6" t="s">
        <v>54</v>
      </c>
      <c r="B6" t="s">
        <v>14</v>
      </c>
      <c r="D6" t="s">
        <v>55</v>
      </c>
      <c r="E6" t="s">
        <v>56</v>
      </c>
      <c r="G6" t="s">
        <v>13</v>
      </c>
      <c r="H6" t="s">
        <v>0</v>
      </c>
      <c r="I6" t="s">
        <v>56</v>
      </c>
      <c r="J6" t="s">
        <v>57</v>
      </c>
    </row>
    <row r="7" spans="1:10" x14ac:dyDescent="0.3">
      <c r="A7" t="s">
        <v>41</v>
      </c>
      <c r="B7">
        <v>89</v>
      </c>
      <c r="D7" t="s">
        <v>46</v>
      </c>
      <c r="E7">
        <v>157</v>
      </c>
      <c r="G7" t="s">
        <v>10</v>
      </c>
      <c r="H7">
        <v>227</v>
      </c>
      <c r="I7">
        <v>8</v>
      </c>
      <c r="J7">
        <v>3.52</v>
      </c>
    </row>
    <row r="8" spans="1:10" x14ac:dyDescent="0.3">
      <c r="A8" t="s">
        <v>42</v>
      </c>
      <c r="B8">
        <v>81</v>
      </c>
      <c r="D8" t="s">
        <v>47</v>
      </c>
      <c r="E8">
        <v>120</v>
      </c>
      <c r="G8" t="s">
        <v>11</v>
      </c>
      <c r="H8">
        <v>32</v>
      </c>
      <c r="I8">
        <v>1</v>
      </c>
      <c r="J8">
        <v>3.13</v>
      </c>
    </row>
    <row r="9" spans="1:10" x14ac:dyDescent="0.3">
      <c r="A9" t="s">
        <v>43</v>
      </c>
      <c r="B9">
        <v>12</v>
      </c>
      <c r="D9" t="s">
        <v>48</v>
      </c>
      <c r="E9">
        <v>104</v>
      </c>
      <c r="G9" t="s">
        <v>5</v>
      </c>
      <c r="H9">
        <v>14548</v>
      </c>
      <c r="I9">
        <v>355</v>
      </c>
      <c r="J9">
        <v>2.44</v>
      </c>
    </row>
    <row r="10" spans="1:10" x14ac:dyDescent="0.3">
      <c r="A10" t="s">
        <v>44</v>
      </c>
      <c r="B10">
        <v>3</v>
      </c>
      <c r="D10" t="s">
        <v>49</v>
      </c>
      <c r="E10">
        <v>48</v>
      </c>
      <c r="G10" t="s">
        <v>7</v>
      </c>
      <c r="H10">
        <v>6332</v>
      </c>
      <c r="I10">
        <v>105</v>
      </c>
      <c r="J10">
        <v>1.66</v>
      </c>
    </row>
    <row r="11" spans="1:10" x14ac:dyDescent="0.3">
      <c r="A11" t="s">
        <v>45</v>
      </c>
      <c r="B11">
        <v>1</v>
      </c>
      <c r="D11" t="s">
        <v>50</v>
      </c>
      <c r="E11">
        <v>40</v>
      </c>
      <c r="G11" t="s">
        <v>9</v>
      </c>
      <c r="H11">
        <v>154</v>
      </c>
      <c r="I11">
        <v>0</v>
      </c>
      <c r="J11">
        <v>0</v>
      </c>
    </row>
    <row r="12" spans="1:10" x14ac:dyDescent="0.3">
      <c r="G12" t="s">
        <v>12</v>
      </c>
      <c r="H12">
        <v>28</v>
      </c>
      <c r="I12">
        <v>0</v>
      </c>
      <c r="J12">
        <v>0</v>
      </c>
    </row>
    <row r="15" spans="1:10" ht="14.4" customHeight="1" x14ac:dyDescent="0.3"/>
    <row r="25" spans="1:2" ht="18" customHeight="1" x14ac:dyDescent="0.3">
      <c r="B25" s="5"/>
    </row>
    <row r="26" spans="1:2" ht="14.4" customHeight="1" x14ac:dyDescent="0.3"/>
    <row r="27" spans="1:2" ht="14.4" customHeight="1" x14ac:dyDescent="0.3">
      <c r="A27" s="5"/>
      <c r="B27" s="5"/>
    </row>
    <row r="28" spans="1:2" ht="14.4" customHeight="1" x14ac:dyDescent="0.3">
      <c r="A28" s="7"/>
      <c r="B28" s="7"/>
    </row>
  </sheetData>
  <mergeCells count="4">
    <mergeCell ref="A1:J2"/>
    <mergeCell ref="A4:B4"/>
    <mergeCell ref="D4:E4"/>
    <mergeCell ref="G4:J4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2C24-20A3-42CC-80CD-67ED473A989B}">
  <sheetPr>
    <tabColor rgb="FF0070C0"/>
  </sheetPr>
  <dimension ref="A1:K60"/>
  <sheetViews>
    <sheetView workbookViewId="0">
      <selection activeCell="I4" sqref="I4:J4"/>
    </sheetView>
  </sheetViews>
  <sheetFormatPr defaultRowHeight="14.4" x14ac:dyDescent="0.3"/>
  <cols>
    <col min="1" max="1" width="11.21875" bestFit="1" customWidth="1"/>
    <col min="2" max="2" width="11" bestFit="1" customWidth="1"/>
    <col min="3" max="3" width="13.109375" bestFit="1" customWidth="1"/>
    <col min="4" max="4" width="18" bestFit="1" customWidth="1"/>
    <col min="5" max="5" width="11" bestFit="1" customWidth="1"/>
    <col min="6" max="6" width="13.109375" bestFit="1" customWidth="1"/>
    <col min="7" max="7" width="17.88671875" customWidth="1"/>
    <col min="8" max="8" width="11.6640625" customWidth="1"/>
    <col min="9" max="9" width="11" customWidth="1"/>
    <col min="10" max="10" width="11" bestFit="1" customWidth="1"/>
  </cols>
  <sheetData>
    <row r="1" spans="1:11" x14ac:dyDescent="0.3">
      <c r="A1" s="28" t="s">
        <v>106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4" spans="1:11" ht="18" x14ac:dyDescent="0.35">
      <c r="A4" s="30" t="s">
        <v>66</v>
      </c>
      <c r="B4" s="31"/>
      <c r="C4" s="31"/>
      <c r="F4" s="30" t="s">
        <v>67</v>
      </c>
      <c r="G4" s="31"/>
      <c r="I4" s="30" t="s">
        <v>68</v>
      </c>
      <c r="J4" s="31"/>
    </row>
    <row r="6" spans="1:11" x14ac:dyDescent="0.3">
      <c r="A6" t="s">
        <v>70</v>
      </c>
      <c r="B6" t="s">
        <v>14</v>
      </c>
      <c r="C6" t="s">
        <v>2</v>
      </c>
      <c r="D6" t="s">
        <v>3</v>
      </c>
      <c r="F6" t="s">
        <v>71</v>
      </c>
      <c r="G6" t="s">
        <v>14</v>
      </c>
      <c r="I6" t="s">
        <v>72</v>
      </c>
      <c r="J6" t="s">
        <v>14</v>
      </c>
    </row>
    <row r="7" spans="1:11" x14ac:dyDescent="0.3">
      <c r="A7" s="9">
        <v>45536</v>
      </c>
      <c r="B7">
        <v>4241</v>
      </c>
      <c r="C7" s="3">
        <v>2621548.58</v>
      </c>
      <c r="D7" s="3">
        <v>618.14397099999996</v>
      </c>
      <c r="F7" t="s">
        <v>59</v>
      </c>
      <c r="G7">
        <v>2196</v>
      </c>
      <c r="I7">
        <v>0</v>
      </c>
      <c r="J7">
        <v>957</v>
      </c>
    </row>
    <row r="8" spans="1:11" x14ac:dyDescent="0.3">
      <c r="A8" s="9">
        <v>45566</v>
      </c>
      <c r="B8">
        <v>4277</v>
      </c>
      <c r="C8" s="3">
        <v>3012920.23</v>
      </c>
      <c r="D8" s="3">
        <v>704.44709599999999</v>
      </c>
      <c r="F8" t="s">
        <v>60</v>
      </c>
      <c r="G8">
        <v>2885</v>
      </c>
      <c r="I8">
        <v>1</v>
      </c>
      <c r="J8">
        <v>833</v>
      </c>
    </row>
    <row r="9" spans="1:11" x14ac:dyDescent="0.3">
      <c r="A9" s="9">
        <v>45597</v>
      </c>
      <c r="B9">
        <v>4491</v>
      </c>
      <c r="C9" s="3">
        <v>3016541.46</v>
      </c>
      <c r="D9" s="3">
        <v>671.68591900000001</v>
      </c>
      <c r="F9" t="s">
        <v>61</v>
      </c>
      <c r="G9">
        <v>3077</v>
      </c>
      <c r="I9">
        <v>2</v>
      </c>
      <c r="J9">
        <v>488</v>
      </c>
    </row>
    <row r="10" spans="1:11" x14ac:dyDescent="0.3">
      <c r="A10" s="9">
        <v>45627</v>
      </c>
      <c r="B10">
        <v>4301</v>
      </c>
      <c r="C10" s="3">
        <v>3090128.91</v>
      </c>
      <c r="D10" s="3">
        <v>718.46754499999997</v>
      </c>
      <c r="F10" t="s">
        <v>62</v>
      </c>
      <c r="G10">
        <v>2879</v>
      </c>
      <c r="I10">
        <v>3</v>
      </c>
      <c r="J10">
        <v>389</v>
      </c>
    </row>
    <row r="11" spans="1:11" x14ac:dyDescent="0.3">
      <c r="A11" s="9">
        <v>45658</v>
      </c>
      <c r="B11">
        <v>4011</v>
      </c>
      <c r="C11" s="3">
        <v>2812918.96</v>
      </c>
      <c r="D11" s="3">
        <v>701.30116199999998</v>
      </c>
      <c r="F11" t="s">
        <v>63</v>
      </c>
      <c r="G11">
        <v>3403</v>
      </c>
      <c r="I11">
        <v>4</v>
      </c>
      <c r="J11">
        <v>5</v>
      </c>
    </row>
    <row r="12" spans="1:11" x14ac:dyDescent="0.3">
      <c r="F12" t="s">
        <v>64</v>
      </c>
      <c r="G12">
        <v>3923</v>
      </c>
      <c r="I12">
        <v>11</v>
      </c>
      <c r="J12">
        <v>305</v>
      </c>
    </row>
    <row r="13" spans="1:11" x14ac:dyDescent="0.3">
      <c r="F13" t="s">
        <v>65</v>
      </c>
      <c r="G13">
        <v>2958</v>
      </c>
      <c r="I13">
        <v>12</v>
      </c>
      <c r="J13">
        <v>909</v>
      </c>
    </row>
    <row r="14" spans="1:11" x14ac:dyDescent="0.3">
      <c r="I14">
        <v>13</v>
      </c>
      <c r="J14">
        <v>1142</v>
      </c>
    </row>
    <row r="15" spans="1:11" ht="18" x14ac:dyDescent="0.3">
      <c r="D15" s="5"/>
      <c r="E15" s="5"/>
      <c r="F15" s="5"/>
      <c r="G15" s="5"/>
      <c r="I15">
        <v>14</v>
      </c>
      <c r="J15">
        <v>1032</v>
      </c>
    </row>
    <row r="16" spans="1:11" ht="18" x14ac:dyDescent="0.3">
      <c r="C16" s="5"/>
      <c r="D16" s="5"/>
      <c r="E16" s="5"/>
      <c r="F16" s="5"/>
      <c r="G16" s="5"/>
      <c r="I16">
        <v>15</v>
      </c>
      <c r="J16">
        <v>824</v>
      </c>
    </row>
    <row r="17" spans="9:10" x14ac:dyDescent="0.3">
      <c r="I17">
        <v>16</v>
      </c>
      <c r="J17">
        <v>905</v>
      </c>
    </row>
    <row r="18" spans="9:10" x14ac:dyDescent="0.3">
      <c r="I18">
        <v>17</v>
      </c>
      <c r="J18">
        <v>1069</v>
      </c>
    </row>
    <row r="19" spans="9:10" x14ac:dyDescent="0.3">
      <c r="I19">
        <v>18</v>
      </c>
      <c r="J19">
        <v>1611</v>
      </c>
    </row>
    <row r="20" spans="9:10" x14ac:dyDescent="0.3">
      <c r="I20">
        <v>19</v>
      </c>
      <c r="J20">
        <v>2419</v>
      </c>
    </row>
    <row r="21" spans="9:10" x14ac:dyDescent="0.3">
      <c r="I21">
        <v>20</v>
      </c>
      <c r="J21">
        <v>2912</v>
      </c>
    </row>
    <row r="22" spans="9:10" x14ac:dyDescent="0.3">
      <c r="I22">
        <v>21</v>
      </c>
      <c r="J22">
        <v>2296</v>
      </c>
    </row>
    <row r="23" spans="9:10" x14ac:dyDescent="0.3">
      <c r="I23">
        <v>22</v>
      </c>
      <c r="J23">
        <v>1748</v>
      </c>
    </row>
    <row r="24" spans="9:10" x14ac:dyDescent="0.3">
      <c r="I24">
        <v>23</v>
      </c>
      <c r="J24">
        <v>1477</v>
      </c>
    </row>
    <row r="34" spans="3:7" ht="18" x14ac:dyDescent="0.3">
      <c r="C34" s="27" t="s">
        <v>69</v>
      </c>
      <c r="D34" s="27"/>
      <c r="E34" s="27"/>
      <c r="F34" s="27"/>
      <c r="G34" s="27"/>
    </row>
    <row r="36" spans="3:7" x14ac:dyDescent="0.3">
      <c r="C36" t="s">
        <v>70</v>
      </c>
      <c r="D36" t="s">
        <v>13</v>
      </c>
      <c r="E36" t="s">
        <v>14</v>
      </c>
      <c r="F36" t="s">
        <v>2</v>
      </c>
      <c r="G36" t="s">
        <v>3</v>
      </c>
    </row>
    <row r="37" spans="3:7" x14ac:dyDescent="0.3">
      <c r="C37" s="9">
        <v>45536</v>
      </c>
      <c r="D37" t="s">
        <v>5</v>
      </c>
      <c r="E37">
        <v>2961</v>
      </c>
      <c r="F37" s="3">
        <v>1945507.43</v>
      </c>
      <c r="G37" s="3">
        <v>657.04</v>
      </c>
    </row>
    <row r="38" spans="3:7" x14ac:dyDescent="0.3">
      <c r="C38" s="9">
        <v>45536</v>
      </c>
      <c r="D38" t="s">
        <v>7</v>
      </c>
      <c r="E38">
        <v>1251</v>
      </c>
      <c r="F38" s="3">
        <v>653925.65</v>
      </c>
      <c r="G38" s="3">
        <v>522.72</v>
      </c>
    </row>
    <row r="39" spans="3:7" x14ac:dyDescent="0.3">
      <c r="C39" s="9">
        <v>45536</v>
      </c>
      <c r="D39" t="s">
        <v>9</v>
      </c>
      <c r="E39">
        <v>20</v>
      </c>
      <c r="F39" s="3">
        <v>17859.939999999999</v>
      </c>
      <c r="G39" s="3">
        <v>893</v>
      </c>
    </row>
    <row r="40" spans="3:7" x14ac:dyDescent="0.3">
      <c r="C40" s="9">
        <v>45536</v>
      </c>
      <c r="D40" t="s">
        <v>10</v>
      </c>
      <c r="E40">
        <v>9</v>
      </c>
      <c r="F40" s="3">
        <v>4255.5600000000004</v>
      </c>
      <c r="G40" s="3">
        <v>472.84</v>
      </c>
    </row>
    <row r="41" spans="3:7" x14ac:dyDescent="0.3">
      <c r="C41" s="9">
        <v>45566</v>
      </c>
      <c r="D41" t="s">
        <v>5</v>
      </c>
      <c r="E41">
        <v>2954</v>
      </c>
      <c r="F41" s="3">
        <v>2285822.89</v>
      </c>
      <c r="G41" s="3">
        <v>773.81</v>
      </c>
    </row>
    <row r="42" spans="3:7" x14ac:dyDescent="0.3">
      <c r="C42" s="9">
        <v>45566</v>
      </c>
      <c r="D42" t="s">
        <v>7</v>
      </c>
      <c r="E42">
        <v>1261</v>
      </c>
      <c r="F42" s="3">
        <v>689239</v>
      </c>
      <c r="G42" s="3">
        <v>546.58000000000004</v>
      </c>
    </row>
    <row r="43" spans="3:7" x14ac:dyDescent="0.3">
      <c r="C43" s="9">
        <v>45566</v>
      </c>
      <c r="D43" t="s">
        <v>9</v>
      </c>
      <c r="E43">
        <v>35</v>
      </c>
      <c r="F43" s="3">
        <v>28104.84</v>
      </c>
      <c r="G43" s="3">
        <v>803</v>
      </c>
    </row>
    <row r="44" spans="3:7" x14ac:dyDescent="0.3">
      <c r="C44" s="9">
        <v>45566</v>
      </c>
      <c r="D44" t="s">
        <v>10</v>
      </c>
      <c r="E44">
        <v>27</v>
      </c>
      <c r="F44" s="3">
        <v>9753.5</v>
      </c>
      <c r="G44" s="3">
        <v>361.24</v>
      </c>
    </row>
    <row r="45" spans="3:7" x14ac:dyDescent="0.3">
      <c r="C45" s="9">
        <v>45597</v>
      </c>
      <c r="D45" t="s">
        <v>5</v>
      </c>
      <c r="E45">
        <v>2983</v>
      </c>
      <c r="F45" s="3">
        <v>2162117.73</v>
      </c>
      <c r="G45" s="3">
        <v>724.81</v>
      </c>
    </row>
    <row r="46" spans="3:7" x14ac:dyDescent="0.3">
      <c r="C46" s="9">
        <v>45597</v>
      </c>
      <c r="D46" t="s">
        <v>7</v>
      </c>
      <c r="E46">
        <v>1429</v>
      </c>
      <c r="F46" s="3">
        <v>806621.85</v>
      </c>
      <c r="G46" s="3">
        <v>564.47</v>
      </c>
    </row>
    <row r="47" spans="3:7" x14ac:dyDescent="0.3">
      <c r="C47" s="9">
        <v>45597</v>
      </c>
      <c r="D47" t="s">
        <v>9</v>
      </c>
      <c r="E47">
        <v>31</v>
      </c>
      <c r="F47" s="3">
        <v>26073.33</v>
      </c>
      <c r="G47" s="3">
        <v>841.08</v>
      </c>
    </row>
    <row r="48" spans="3:7" x14ac:dyDescent="0.3">
      <c r="C48" s="9">
        <v>45597</v>
      </c>
      <c r="D48" t="s">
        <v>10</v>
      </c>
      <c r="E48">
        <v>46</v>
      </c>
      <c r="F48" s="3">
        <v>19880.55</v>
      </c>
      <c r="G48" s="3">
        <v>432.19</v>
      </c>
    </row>
    <row r="49" spans="3:7" x14ac:dyDescent="0.3">
      <c r="C49" s="9">
        <v>45597</v>
      </c>
      <c r="D49" t="s">
        <v>11</v>
      </c>
      <c r="E49">
        <v>2</v>
      </c>
      <c r="F49" s="3">
        <v>1848</v>
      </c>
      <c r="G49" s="3">
        <v>924</v>
      </c>
    </row>
    <row r="50" spans="3:7" x14ac:dyDescent="0.3">
      <c r="C50" s="9">
        <v>45627</v>
      </c>
      <c r="D50" t="s">
        <v>5</v>
      </c>
      <c r="E50">
        <v>3040</v>
      </c>
      <c r="F50" s="3">
        <v>2337357.0099999998</v>
      </c>
      <c r="G50" s="3">
        <v>768.87</v>
      </c>
    </row>
    <row r="51" spans="3:7" x14ac:dyDescent="0.3">
      <c r="C51" s="9">
        <v>45627</v>
      </c>
      <c r="D51" t="s">
        <v>7</v>
      </c>
      <c r="E51">
        <v>1199</v>
      </c>
      <c r="F51" s="3">
        <v>705288.79</v>
      </c>
      <c r="G51" s="3">
        <v>588.23</v>
      </c>
    </row>
    <row r="52" spans="3:7" x14ac:dyDescent="0.3">
      <c r="C52" s="9">
        <v>45627</v>
      </c>
      <c r="D52" t="s">
        <v>9</v>
      </c>
      <c r="E52">
        <v>35</v>
      </c>
      <c r="F52" s="3">
        <v>33212.17</v>
      </c>
      <c r="G52" s="3">
        <v>948.92</v>
      </c>
    </row>
    <row r="53" spans="3:7" x14ac:dyDescent="0.3">
      <c r="C53" s="9">
        <v>45627</v>
      </c>
      <c r="D53" t="s">
        <v>10</v>
      </c>
      <c r="E53">
        <v>26</v>
      </c>
      <c r="F53" s="3">
        <v>13987.44</v>
      </c>
      <c r="G53" s="3">
        <v>537.98</v>
      </c>
    </row>
    <row r="54" spans="3:7" x14ac:dyDescent="0.3">
      <c r="C54" s="9">
        <v>45627</v>
      </c>
      <c r="D54" t="s">
        <v>11</v>
      </c>
      <c r="E54">
        <v>1</v>
      </c>
      <c r="F54" s="3">
        <v>283.5</v>
      </c>
      <c r="G54" s="3">
        <v>283.5</v>
      </c>
    </row>
    <row r="55" spans="3:7" x14ac:dyDescent="0.3">
      <c r="C55" s="9">
        <v>45658</v>
      </c>
      <c r="D55" t="s">
        <v>5</v>
      </c>
      <c r="E55">
        <v>2610</v>
      </c>
      <c r="F55" s="3">
        <v>2020812.36</v>
      </c>
      <c r="G55" s="3">
        <v>774.26</v>
      </c>
    </row>
    <row r="56" spans="3:7" x14ac:dyDescent="0.3">
      <c r="C56" s="9">
        <v>45658</v>
      </c>
      <c r="D56" t="s">
        <v>7</v>
      </c>
      <c r="E56">
        <v>1192</v>
      </c>
      <c r="F56" s="3">
        <v>690446.57</v>
      </c>
      <c r="G56" s="3">
        <v>579.23</v>
      </c>
    </row>
    <row r="57" spans="3:7" x14ac:dyDescent="0.3">
      <c r="C57" s="9">
        <v>45658</v>
      </c>
      <c r="D57" t="s">
        <v>10</v>
      </c>
      <c r="E57">
        <v>119</v>
      </c>
      <c r="F57" s="3">
        <v>53832.57</v>
      </c>
      <c r="G57" s="3">
        <v>452.37</v>
      </c>
    </row>
    <row r="58" spans="3:7" x14ac:dyDescent="0.3">
      <c r="C58" s="9">
        <v>45658</v>
      </c>
      <c r="D58" t="s">
        <v>9</v>
      </c>
      <c r="E58">
        <v>33</v>
      </c>
      <c r="F58" s="3">
        <v>28415.67</v>
      </c>
      <c r="G58" s="3">
        <v>861.08</v>
      </c>
    </row>
    <row r="59" spans="3:7" x14ac:dyDescent="0.3">
      <c r="C59" s="9">
        <v>45658</v>
      </c>
      <c r="D59" t="s">
        <v>11</v>
      </c>
      <c r="E59">
        <v>29</v>
      </c>
      <c r="F59" s="3">
        <v>10249.49</v>
      </c>
      <c r="G59" s="3">
        <v>353.43</v>
      </c>
    </row>
    <row r="60" spans="3:7" x14ac:dyDescent="0.3">
      <c r="C60" s="9">
        <v>45658</v>
      </c>
      <c r="D60" t="s">
        <v>12</v>
      </c>
      <c r="E60">
        <v>28</v>
      </c>
      <c r="F60" s="3">
        <v>9162.2999999999993</v>
      </c>
      <c r="G60" s="3">
        <v>327.23</v>
      </c>
    </row>
  </sheetData>
  <mergeCells count="5">
    <mergeCell ref="C34:G34"/>
    <mergeCell ref="A1:K2"/>
    <mergeCell ref="A4:C4"/>
    <mergeCell ref="F4:G4"/>
    <mergeCell ref="I4:J4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D1E1-F824-4F03-95BE-E2128E9C372A}">
  <sheetPr>
    <tabColor rgb="FFFFCC66"/>
  </sheetPr>
  <dimension ref="A1:W10"/>
  <sheetViews>
    <sheetView showGridLines="0" tabSelected="1" topLeftCell="A2" zoomScale="153" zoomScaleNormal="100" workbookViewId="0">
      <selection activeCell="F9" sqref="F9:G10"/>
    </sheetView>
  </sheetViews>
  <sheetFormatPr defaultRowHeight="14.4" x14ac:dyDescent="0.3"/>
  <cols>
    <col min="7" max="7" width="31" customWidth="1"/>
    <col min="9" max="9" width="8.77734375" customWidth="1"/>
    <col min="11" max="11" width="13.21875" customWidth="1"/>
    <col min="12" max="12" width="9.6640625" customWidth="1"/>
  </cols>
  <sheetData>
    <row r="1" spans="1:23" ht="14.4" customHeight="1" x14ac:dyDescent="0.3">
      <c r="A1" s="19" t="s">
        <v>105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8"/>
      <c r="V1" s="8"/>
      <c r="W1" s="8"/>
    </row>
    <row r="2" spans="1:23" ht="14.4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8"/>
      <c r="V2" s="8"/>
      <c r="W2" s="8"/>
    </row>
    <row r="3" spans="1:23" ht="15" thickBot="1" x14ac:dyDescent="0.35"/>
    <row r="4" spans="1:23" ht="15" thickBot="1" x14ac:dyDescent="0.35">
      <c r="B4" s="34">
        <f>Overview!B4</f>
        <v>21321</v>
      </c>
      <c r="C4" s="34"/>
      <c r="F4" s="35">
        <f>ROUND(Overview!B6,2)</f>
        <v>14554058.140000001</v>
      </c>
      <c r="G4" s="35"/>
      <c r="J4" s="36">
        <f>Overview!B7</f>
        <v>682.61611300000004</v>
      </c>
      <c r="K4" s="36"/>
      <c r="N4" s="34">
        <f>Overview!B8</f>
        <v>1.94</v>
      </c>
      <c r="O4" s="34"/>
      <c r="R4" s="44">
        <f>Overview!B9</f>
        <v>4.17</v>
      </c>
      <c r="S4" s="44"/>
    </row>
    <row r="5" spans="1:23" ht="15" thickBot="1" x14ac:dyDescent="0.35">
      <c r="B5" s="34"/>
      <c r="C5" s="34"/>
      <c r="F5" s="35"/>
      <c r="G5" s="35"/>
      <c r="J5" s="36"/>
      <c r="K5" s="36"/>
      <c r="N5" s="34"/>
      <c r="O5" s="34"/>
      <c r="R5" s="44"/>
      <c r="S5" s="44"/>
    </row>
    <row r="6" spans="1:23" ht="15" thickBot="1" x14ac:dyDescent="0.35">
      <c r="B6" s="34"/>
      <c r="C6" s="34"/>
      <c r="F6" s="35"/>
      <c r="G6" s="35"/>
      <c r="J6" s="36"/>
      <c r="K6" s="36"/>
      <c r="N6" s="34"/>
      <c r="O6" s="34"/>
      <c r="R6" s="44"/>
      <c r="S6" s="44"/>
    </row>
    <row r="7" spans="1:23" ht="15" thickBot="1" x14ac:dyDescent="0.35">
      <c r="B7" s="34"/>
      <c r="C7" s="34"/>
      <c r="F7" s="35"/>
      <c r="G7" s="35"/>
      <c r="J7" s="36"/>
      <c r="K7" s="36"/>
      <c r="N7" s="34"/>
      <c r="O7" s="34"/>
      <c r="R7" s="44"/>
      <c r="S7" s="44"/>
    </row>
    <row r="8" spans="1:23" ht="15" thickBot="1" x14ac:dyDescent="0.35">
      <c r="B8" s="34"/>
      <c r="C8" s="34"/>
      <c r="F8" s="35"/>
      <c r="G8" s="35"/>
      <c r="J8" s="36"/>
      <c r="K8" s="36"/>
      <c r="N8" s="34"/>
      <c r="O8" s="34"/>
      <c r="R8" s="44"/>
      <c r="S8" s="44"/>
    </row>
    <row r="9" spans="1:23" x14ac:dyDescent="0.3">
      <c r="B9" s="32" t="s">
        <v>77</v>
      </c>
      <c r="C9" s="32"/>
      <c r="F9" s="33" t="s">
        <v>2</v>
      </c>
      <c r="G9" s="33"/>
      <c r="J9" s="41" t="s">
        <v>3</v>
      </c>
      <c r="K9" s="42"/>
      <c r="N9" s="39" t="s">
        <v>4</v>
      </c>
      <c r="O9" s="40"/>
      <c r="R9" s="37" t="s">
        <v>73</v>
      </c>
      <c r="S9" s="38"/>
    </row>
    <row r="10" spans="1:23" x14ac:dyDescent="0.3">
      <c r="B10" s="33"/>
      <c r="C10" s="33"/>
      <c r="F10" s="33"/>
      <c r="G10" s="33"/>
      <c r="J10" s="43"/>
      <c r="K10" s="43"/>
      <c r="N10" s="38"/>
      <c r="O10" s="38"/>
      <c r="R10" s="38"/>
      <c r="S10" s="38"/>
    </row>
  </sheetData>
  <mergeCells count="12">
    <mergeCell ref="A1:P2"/>
    <mergeCell ref="Q1:T2"/>
    <mergeCell ref="B9:C10"/>
    <mergeCell ref="B4:C8"/>
    <mergeCell ref="F4:G8"/>
    <mergeCell ref="J4:K8"/>
    <mergeCell ref="N4:O8"/>
    <mergeCell ref="R9:S10"/>
    <mergeCell ref="N9:O10"/>
    <mergeCell ref="J9:K10"/>
    <mergeCell ref="F9:G10"/>
    <mergeCell ref="R4:S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1BA0-5FBC-4E0B-853D-D1A7783F2B75}">
  <sheetPr>
    <tabColor rgb="FF00B050"/>
  </sheetPr>
  <dimension ref="A1:P63"/>
  <sheetViews>
    <sheetView zoomScale="98" zoomScaleNormal="100" workbookViewId="0">
      <selection activeCell="C3" sqref="C3"/>
    </sheetView>
  </sheetViews>
  <sheetFormatPr defaultRowHeight="14.4" x14ac:dyDescent="0.3"/>
  <cols>
    <col min="1" max="1" width="15.109375" customWidth="1"/>
    <col min="3" max="3" width="9.77734375" customWidth="1"/>
    <col min="6" max="6" width="10" customWidth="1"/>
    <col min="10" max="10" width="11.21875" customWidth="1"/>
  </cols>
  <sheetData>
    <row r="1" spans="1:16" ht="14.4" customHeight="1" x14ac:dyDescent="0.3">
      <c r="A1" s="19" t="s">
        <v>104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16.2" customHeight="1" x14ac:dyDescent="0.3"/>
    <row r="4" spans="1:16" ht="16.2" customHeight="1" x14ac:dyDescent="0.3">
      <c r="A4" s="20" t="s">
        <v>78</v>
      </c>
      <c r="B4" s="20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6" ht="16.2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6" ht="16.2" customHeight="1" x14ac:dyDescent="0.3">
      <c r="A6" s="18" t="s">
        <v>95</v>
      </c>
      <c r="B6" s="18"/>
      <c r="C6" s="18"/>
      <c r="D6" s="18"/>
      <c r="E6" s="18"/>
      <c r="F6" s="18"/>
      <c r="G6" s="18"/>
      <c r="H6" s="18"/>
      <c r="I6" s="18"/>
      <c r="J6" s="18"/>
      <c r="K6" s="7"/>
      <c r="L6" s="7"/>
    </row>
    <row r="7" spans="1:16" ht="16.2" customHeigh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7"/>
      <c r="L7" s="7"/>
    </row>
    <row r="8" spans="1:16" ht="16.2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6" ht="16.2" customHeight="1" x14ac:dyDescent="0.3">
      <c r="A9" s="21" t="s">
        <v>79</v>
      </c>
      <c r="B9" s="22"/>
      <c r="C9" s="22"/>
      <c r="D9" s="16"/>
      <c r="E9" s="16"/>
      <c r="F9" s="16"/>
      <c r="G9" s="16"/>
      <c r="H9" s="16"/>
      <c r="I9" s="16"/>
      <c r="J9" s="16"/>
    </row>
    <row r="10" spans="1:16" ht="16.2" customHeight="1" x14ac:dyDescent="0.3">
      <c r="A10" s="7"/>
      <c r="B10" s="7"/>
      <c r="C10" s="7"/>
      <c r="D10" s="7"/>
      <c r="E10" s="7"/>
      <c r="F10" s="7"/>
      <c r="G10" s="7"/>
    </row>
    <row r="11" spans="1:16" ht="16.2" customHeight="1" x14ac:dyDescent="0.3">
      <c r="A11" s="18" t="s">
        <v>80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6" ht="16.2" customHeight="1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6" ht="16.2" customHeight="1" x14ac:dyDescent="0.3"/>
    <row r="14" spans="1:16" ht="16.2" customHeight="1" x14ac:dyDescent="0.3">
      <c r="A14" s="18" t="s">
        <v>81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6" ht="16.2" customHeight="1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6" ht="16.2" customHeight="1" x14ac:dyDescent="0.3"/>
    <row r="17" spans="1:10" ht="16.2" customHeight="1" x14ac:dyDescent="0.3">
      <c r="A17" s="18" t="s">
        <v>82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6.2" customHeight="1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6.2" customHeight="1" x14ac:dyDescent="0.3"/>
    <row r="20" spans="1:10" ht="16.2" customHeight="1" x14ac:dyDescent="0.3">
      <c r="A20" s="18" t="s">
        <v>83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6.2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6.2" customHeight="1" x14ac:dyDescent="0.3"/>
    <row r="23" spans="1:10" ht="16.2" customHeight="1" x14ac:dyDescent="0.3">
      <c r="A23" s="21" t="s">
        <v>84</v>
      </c>
      <c r="B23" s="22"/>
      <c r="C23" s="22"/>
    </row>
    <row r="24" spans="1:10" ht="16.2" customHeight="1" x14ac:dyDescent="0.3"/>
    <row r="25" spans="1:10" ht="16.2" customHeight="1" x14ac:dyDescent="0.3">
      <c r="A25" s="18" t="s">
        <v>85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39" customHeight="1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6.2" customHeight="1" x14ac:dyDescent="0.3"/>
    <row r="28" spans="1:10" ht="16.2" customHeight="1" x14ac:dyDescent="0.3">
      <c r="A28" s="18" t="s">
        <v>86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6.2" customHeight="1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6.2" customHeight="1" x14ac:dyDescent="0.3"/>
    <row r="31" spans="1:10" ht="16.2" customHeight="1" x14ac:dyDescent="0.3">
      <c r="A31" s="18" t="s">
        <v>87</v>
      </c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6.2" customHeight="1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6.2" customHeight="1" x14ac:dyDescent="0.3"/>
    <row r="34" spans="1:10" ht="16.2" customHeight="1" x14ac:dyDescent="0.3">
      <c r="A34" s="21" t="s">
        <v>88</v>
      </c>
      <c r="B34" s="22"/>
      <c r="C34" s="22"/>
    </row>
    <row r="35" spans="1:10" ht="16.2" customHeight="1" x14ac:dyDescent="0.3"/>
    <row r="36" spans="1:10" ht="16.2" customHeight="1" x14ac:dyDescent="0.3">
      <c r="A36" s="18" t="s">
        <v>89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6.2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6.2" customHeight="1" x14ac:dyDescent="0.3"/>
    <row r="39" spans="1:10" ht="16.2" customHeight="1" x14ac:dyDescent="0.3">
      <c r="A39" s="18" t="s">
        <v>90</v>
      </c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6.2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6.2" customHeight="1" x14ac:dyDescent="0.3"/>
    <row r="42" spans="1:10" ht="16.2" customHeight="1" x14ac:dyDescent="0.3">
      <c r="A42" s="18" t="s">
        <v>91</v>
      </c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6.2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6.2" customHeight="1" x14ac:dyDescent="0.3"/>
    <row r="45" spans="1:10" ht="16.2" customHeight="1" x14ac:dyDescent="0.3">
      <c r="A45" s="21" t="s">
        <v>92</v>
      </c>
      <c r="B45" s="22"/>
      <c r="C45" s="22"/>
    </row>
    <row r="46" spans="1:10" ht="16.2" customHeight="1" x14ac:dyDescent="0.3"/>
    <row r="47" spans="1:10" ht="16.2" customHeight="1" x14ac:dyDescent="0.3">
      <c r="A47" s="18" t="s">
        <v>93</v>
      </c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6.2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 ht="16.2" customHeight="1" x14ac:dyDescent="0.3"/>
    <row r="50" spans="1:10" ht="16.2" customHeight="1" x14ac:dyDescent="0.3">
      <c r="A50" s="18" t="s">
        <v>94</v>
      </c>
      <c r="B50" s="18"/>
      <c r="C50" s="18"/>
      <c r="D50" s="18"/>
      <c r="E50" s="18"/>
      <c r="F50" s="18"/>
      <c r="G50" s="18"/>
      <c r="H50" s="18"/>
      <c r="I50" s="18"/>
      <c r="J50" s="18"/>
    </row>
    <row r="51" spans="1:10" ht="16.2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 ht="14.4" customHeight="1" x14ac:dyDescent="0.3"/>
    <row r="53" spans="1:10" ht="15" customHeight="1" x14ac:dyDescent="0.3">
      <c r="A53" s="21" t="s">
        <v>96</v>
      </c>
      <c r="B53" s="22"/>
    </row>
    <row r="55" spans="1:10" ht="15.6" x14ac:dyDescent="0.3">
      <c r="A55" s="18" t="s">
        <v>97</v>
      </c>
      <c r="B55" s="18"/>
      <c r="C55" s="18"/>
      <c r="D55" s="18"/>
      <c r="E55" s="18"/>
      <c r="F55" s="18"/>
      <c r="G55" s="18"/>
      <c r="H55" s="18"/>
      <c r="I55" s="18"/>
      <c r="J55" s="18"/>
    </row>
    <row r="57" spans="1:10" ht="14.4" customHeight="1" x14ac:dyDescent="0.3">
      <c r="A57" s="17" t="s">
        <v>98</v>
      </c>
      <c r="B57" s="17"/>
      <c r="C57" s="17"/>
      <c r="D57" s="17"/>
      <c r="E57" s="17"/>
      <c r="F57" s="17"/>
      <c r="G57" s="17"/>
      <c r="H57" s="17"/>
      <c r="I57" s="17"/>
      <c r="J57" s="17"/>
    </row>
    <row r="59" spans="1:10" ht="15.6" x14ac:dyDescent="0.3">
      <c r="A59" s="18" t="s">
        <v>99</v>
      </c>
      <c r="B59" s="18"/>
      <c r="C59" s="18"/>
      <c r="D59" s="18"/>
      <c r="E59" s="18"/>
      <c r="F59" s="18"/>
      <c r="G59" s="18"/>
      <c r="H59" s="18"/>
      <c r="I59" s="18"/>
      <c r="J59" s="18"/>
    </row>
    <row r="60" spans="1:10" ht="15.6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 spans="1:10" ht="15.6" x14ac:dyDescent="0.3">
      <c r="A61" s="18" t="s">
        <v>100</v>
      </c>
      <c r="B61" s="18"/>
      <c r="C61" s="18"/>
      <c r="D61" s="18"/>
      <c r="E61" s="18"/>
      <c r="F61" s="18"/>
      <c r="G61" s="18"/>
      <c r="H61" s="18"/>
      <c r="I61" s="18"/>
      <c r="J61" s="18"/>
    </row>
    <row r="63" spans="1:10" ht="15.6" x14ac:dyDescent="0.3">
      <c r="A63" s="18" t="s">
        <v>101</v>
      </c>
      <c r="B63" s="18"/>
      <c r="C63" s="18"/>
      <c r="D63" s="18"/>
      <c r="E63" s="18"/>
      <c r="F63" s="18"/>
      <c r="G63" s="18"/>
      <c r="H63" s="18"/>
      <c r="I63" s="18"/>
      <c r="J63" s="18"/>
    </row>
  </sheetData>
  <mergeCells count="25">
    <mergeCell ref="A9:C9"/>
    <mergeCell ref="A11:J12"/>
    <mergeCell ref="A14:J15"/>
    <mergeCell ref="A17:J18"/>
    <mergeCell ref="A1:P2"/>
    <mergeCell ref="A4:B4"/>
    <mergeCell ref="A53:B53"/>
    <mergeCell ref="A55:J55"/>
    <mergeCell ref="A50:J51"/>
    <mergeCell ref="A6:J7"/>
    <mergeCell ref="A34:C34"/>
    <mergeCell ref="A36:J37"/>
    <mergeCell ref="A39:J40"/>
    <mergeCell ref="A42:J43"/>
    <mergeCell ref="A45:C45"/>
    <mergeCell ref="A47:J48"/>
    <mergeCell ref="A23:C23"/>
    <mergeCell ref="A25:J26"/>
    <mergeCell ref="A28:J29"/>
    <mergeCell ref="A31:J32"/>
    <mergeCell ref="A57:J57"/>
    <mergeCell ref="A63:J63"/>
    <mergeCell ref="A59:J59"/>
    <mergeCell ref="A61:J61"/>
    <mergeCell ref="A20:J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579351-2C92-4FC7-B394-45D91668CB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Restaurant_Performance</vt:lpstr>
      <vt:lpstr>Discounts_Summary</vt:lpstr>
      <vt:lpstr>Cancellations</vt:lpstr>
      <vt:lpstr>Time_Trends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 Anbazhagan</dc:creator>
  <cp:lastModifiedBy>Varsha Anbazhagan</cp:lastModifiedBy>
  <dcterms:created xsi:type="dcterms:W3CDTF">2026-08-20T05:40:47Z</dcterms:created>
  <dcterms:modified xsi:type="dcterms:W3CDTF">2026-08-23T19:13:36Z</dcterms:modified>
</cp:coreProperties>
</file>